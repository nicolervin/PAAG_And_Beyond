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0041140\Downloads\"/>
    </mc:Choice>
  </mc:AlternateContent>
  <xr:revisionPtr revIDLastSave="0" documentId="8_{C24C0A77-3A37-4F27-A8BF-3549AA0C0E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FMEACHECK" sheetId="2" r:id="rId1"/>
    <sheet name="PFMEA-A" sheetId="3" r:id="rId2"/>
    <sheet name="Severity" sheetId="8" r:id="rId3"/>
    <sheet name="Occurrence" sheetId="6" r:id="rId4"/>
    <sheet name="Detection" sheetId="7" r:id="rId5"/>
    <sheet name="Fishbone 1" sheetId="9" r:id="rId6"/>
    <sheet name="Fishbone 2" sheetId="10" r:id="rId7"/>
    <sheet name="Fishbone 3" sheetId="11" r:id="rId8"/>
    <sheet name="Instructions" sheetId="12" r:id="rId9"/>
    <sheet name="Sign-off" sheetId="13" r:id="rId10"/>
  </sheets>
  <definedNames>
    <definedName name="_xlnm.Print_Area" localSheetId="4">Detection!$A$1:$E$15</definedName>
    <definedName name="_xlnm.Print_Area" localSheetId="5">'Fishbone 1'!$A$1:$V$43</definedName>
    <definedName name="_xlnm.Print_Area" localSheetId="6">'Fishbone 2'!$A$1:$V$43</definedName>
    <definedName name="_xlnm.Print_Area" localSheetId="7">'Fishbone 3'!$A$1:$V$44</definedName>
    <definedName name="_xlnm.Print_Area" localSheetId="8">Instructions!$A$1:$F$23</definedName>
    <definedName name="_xlnm.Print_Area" localSheetId="3">Occurrence!$A$1:$F$16</definedName>
    <definedName name="_xlnm.Print_Area" localSheetId="1">'PFMEA-A'!$A$1:$S$54</definedName>
    <definedName name="_xlnm.Print_Area" localSheetId="0">PFMEACHECK!$A$1:$I$20</definedName>
    <definedName name="_xlnm.Print_Area" localSheetId="2">Severity!$A$1:$F$15</definedName>
    <definedName name="_xlnm.Print_Area" localSheetId="9">'Sign-off'!$A$1:$I$36</definedName>
    <definedName name="_xlnm.Print_Titles" localSheetId="1">'PFMEA-A'!$6:$20</definedName>
    <definedName name="_xlnm.Print_Titles" localSheetId="0">PFMEACHECK!$4:$6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4" i="3" l="1"/>
  <c r="M54" i="3"/>
  <c r="L54" i="3"/>
  <c r="S53" i="3"/>
  <c r="M53" i="3"/>
  <c r="L53" i="3"/>
  <c r="S52" i="3"/>
  <c r="M52" i="3"/>
  <c r="L52" i="3"/>
  <c r="S51" i="3"/>
  <c r="M51" i="3"/>
  <c r="L51" i="3"/>
  <c r="S50" i="3"/>
  <c r="M50" i="3"/>
  <c r="L50" i="3"/>
  <c r="S49" i="3"/>
  <c r="M49" i="3"/>
  <c r="L49" i="3"/>
  <c r="S48" i="3"/>
  <c r="M48" i="3"/>
  <c r="L48" i="3"/>
  <c r="S47" i="3"/>
  <c r="M47" i="3"/>
  <c r="L47" i="3"/>
  <c r="S46" i="3"/>
  <c r="M46" i="3"/>
  <c r="L46" i="3"/>
  <c r="S45" i="3"/>
  <c r="M45" i="3"/>
  <c r="L45" i="3"/>
  <c r="S44" i="3"/>
  <c r="M44" i="3"/>
  <c r="L44" i="3"/>
  <c r="S43" i="3"/>
  <c r="M43" i="3"/>
  <c r="L43" i="3"/>
  <c r="S42" i="3"/>
  <c r="M42" i="3"/>
  <c r="L42" i="3"/>
  <c r="S41" i="3"/>
  <c r="M41" i="3"/>
  <c r="L41" i="3"/>
  <c r="S40" i="3"/>
  <c r="M40" i="3"/>
  <c r="L40" i="3"/>
  <c r="S39" i="3"/>
  <c r="M39" i="3"/>
  <c r="L39" i="3"/>
  <c r="S38" i="3"/>
  <c r="M38" i="3"/>
  <c r="L38" i="3"/>
  <c r="S37" i="3"/>
  <c r="M37" i="3"/>
  <c r="L37" i="3"/>
  <c r="S36" i="3"/>
  <c r="M36" i="3"/>
  <c r="L36" i="3"/>
  <c r="S35" i="3"/>
  <c r="M35" i="3"/>
  <c r="L35" i="3"/>
  <c r="S34" i="3"/>
  <c r="M34" i="3"/>
  <c r="L34" i="3"/>
  <c r="S33" i="3"/>
  <c r="M33" i="3"/>
  <c r="L33" i="3"/>
  <c r="S32" i="3"/>
  <c r="M32" i="3"/>
  <c r="L32" i="3"/>
  <c r="S31" i="3"/>
  <c r="M31" i="3"/>
  <c r="L31" i="3"/>
  <c r="S30" i="3"/>
  <c r="M30" i="3"/>
  <c r="L30" i="3"/>
  <c r="S29" i="3"/>
  <c r="M29" i="3"/>
  <c r="L29" i="3"/>
  <c r="S28" i="3"/>
  <c r="M28" i="3"/>
  <c r="L28" i="3"/>
  <c r="S27" i="3"/>
  <c r="M27" i="3"/>
  <c r="L27" i="3"/>
  <c r="S26" i="3"/>
  <c r="M26" i="3"/>
  <c r="L26" i="3"/>
  <c r="S25" i="3"/>
  <c r="M25" i="3"/>
  <c r="L25" i="3"/>
  <c r="S24" i="3"/>
  <c r="M24" i="3"/>
  <c r="L24" i="3"/>
  <c r="S23" i="3"/>
  <c r="M23" i="3"/>
  <c r="L23" i="3"/>
  <c r="S22" i="3"/>
  <c r="M22" i="3"/>
  <c r="L22" i="3"/>
  <c r="S21" i="3"/>
  <c r="M21" i="3"/>
  <c r="L21" i="3"/>
  <c r="A17" i="2"/>
  <c r="A11" i="2"/>
  <c r="A12" i="2" s="1"/>
  <c r="A13" i="2" s="1"/>
  <c r="A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 User</author>
  </authors>
  <commentList>
    <comment ref="F16" authorId="0" shapeId="0" xr:uid="{00000000-0006-0000-0100-000001000000}">
      <text>
        <r>
          <rPr>
            <sz val="9"/>
            <color indexed="81"/>
            <rFont val="Tahoma"/>
            <charset val="1"/>
          </rPr>
          <t xml:space="preserve">Classification is used to denote specifications from the drawing (e.g. &lt;Q&gt;, &lt;E&gt;, &lt;E-&gt;, &lt;P&gt;, &lt;R&gt;)
</t>
        </r>
      </text>
    </comment>
  </commentList>
</comments>
</file>

<file path=xl/sharedStrings.xml><?xml version="1.0" encoding="utf-8"?>
<sst xmlns="http://schemas.openxmlformats.org/spreadsheetml/2006/main" count="236" uniqueCount="166">
  <si>
    <t>FMEA Number:</t>
  </si>
  <si>
    <t>Prepared by:</t>
  </si>
  <si>
    <t>Process Responsibility</t>
  </si>
  <si>
    <t>FMEA Date (Orig.)</t>
  </si>
  <si>
    <t>FMEA Date (Rev.)</t>
  </si>
  <si>
    <t>Core Team:</t>
  </si>
  <si>
    <t>Potential 
Failure 
Mode</t>
  </si>
  <si>
    <t>Potential 
Effect(s) 
of Failure</t>
  </si>
  <si>
    <t>Severity</t>
  </si>
  <si>
    <t>Classification</t>
  </si>
  <si>
    <t>Potential 
Causes(s)
of Failure</t>
  </si>
  <si>
    <t>Occurrence</t>
  </si>
  <si>
    <t>Detection</t>
  </si>
  <si>
    <t>RPN</t>
  </si>
  <si>
    <t>Action Results</t>
  </si>
  <si>
    <t>Question</t>
  </si>
  <si>
    <t>Yes</t>
  </si>
  <si>
    <t>No</t>
  </si>
  <si>
    <t>N/A</t>
  </si>
  <si>
    <t>Comment / Action Required</t>
  </si>
  <si>
    <t>Person Responsible</t>
  </si>
  <si>
    <t>Due Date</t>
  </si>
  <si>
    <t>Was the Process FMEA prepared by a cross functional team?  Has the team taken into account all customer specific requirements, including FMEA methodologies as shown in the current edition of the FMEA?</t>
  </si>
  <si>
    <t>Have all operations including subcontracted, or outsourced processes and services been considered?</t>
  </si>
  <si>
    <t>Have all operations affecting customer requirements including fit, function, durability, governmental regulations and safety been identified and listed sequentially?</t>
  </si>
  <si>
    <t>Were similar part/process FMEA's considered?</t>
  </si>
  <si>
    <t>Have historical campaign and warranty data been reviewed and used in the analysis?</t>
  </si>
  <si>
    <t>Have you applied the appropriate controls to address all of the identified failure modes?</t>
  </si>
  <si>
    <t>Were severity, detection and occurrence revised when corrective action was completed?</t>
  </si>
  <si>
    <t>Do the effects consider the customer in terms of the subsequent operation, assembly, and product?</t>
  </si>
  <si>
    <t>Were customer plant problems used as an aid in developing the Process FMEA?</t>
  </si>
  <si>
    <t>Have the causes been described in terms of something that can be corrected or controlled?</t>
  </si>
  <si>
    <t>Have provisions been made to control the cause of the failure mode prior to subsequent or the next operation?</t>
  </si>
  <si>
    <t>Prepared By:</t>
  </si>
  <si>
    <t>Recommended 
Action</t>
  </si>
  <si>
    <t>Responsibility 
&amp; Target 
Completion 
Date</t>
  </si>
  <si>
    <t>Part or Process No.:</t>
  </si>
  <si>
    <t>Assembly</t>
  </si>
  <si>
    <t>Area</t>
  </si>
  <si>
    <t>Design Manufacturing Resp.</t>
  </si>
  <si>
    <t>Item #</t>
  </si>
  <si>
    <t>Process Function</t>
  </si>
  <si>
    <t>Current
Process
Controls</t>
  </si>
  <si>
    <t>Prevention</t>
  </si>
  <si>
    <t>Actions Taken</t>
  </si>
  <si>
    <t>Release Date</t>
  </si>
  <si>
    <t>NOT CONTROLLED IF PRINTED</t>
  </si>
  <si>
    <t>*Indicates potential signature required, depending on the content of FRM.</t>
  </si>
  <si>
    <t>Windchill Approval</t>
  </si>
  <si>
    <t>QMS Designated Person</t>
  </si>
  <si>
    <t>DATE</t>
  </si>
  <si>
    <t>ROLE</t>
  </si>
  <si>
    <r>
      <t>APPROVER</t>
    </r>
    <r>
      <rPr>
        <sz val="10"/>
        <rFont val="Arial"/>
        <family val="2"/>
      </rPr>
      <t>:</t>
    </r>
  </si>
  <si>
    <t>TITLE</t>
  </si>
  <si>
    <t>NAME</t>
  </si>
  <si>
    <r>
      <t>AUTHOR</t>
    </r>
    <r>
      <rPr>
        <sz val="11"/>
        <color indexed="8"/>
        <rFont val="Arial"/>
        <family val="2"/>
      </rPr>
      <t>:</t>
    </r>
  </si>
  <si>
    <t>Intial Draft</t>
  </si>
  <si>
    <t xml:space="preserve">   DESCRIPTION OF CHANGE</t>
  </si>
  <si>
    <t>CHANGE MADE BY</t>
  </si>
  <si>
    <t>DATE OF CHANGE</t>
  </si>
  <si>
    <t>REV.</t>
  </si>
  <si>
    <t>The following chart lists the revisions made to this document tracked by version. Use this to describe the changes and additions each time this document is re-published. The description should include as many details of the changes as possible.</t>
  </si>
  <si>
    <t>DOCUMENT REVISION TABLE:</t>
  </si>
  <si>
    <t>Version:</t>
  </si>
  <si>
    <t>Rev. Date:</t>
  </si>
  <si>
    <t>Donzel Johnson</t>
  </si>
  <si>
    <t>Central Quality Engineer</t>
  </si>
  <si>
    <t>Revision Date:</t>
  </si>
  <si>
    <t>FRM PFMEA Checklist</t>
  </si>
  <si>
    <t>FRM-GEA-QYS-033</t>
  </si>
  <si>
    <t>Likelihood of Failure</t>
  </si>
  <si>
    <t>Criteria: Occurrence of Cause PFMEA (Incidents of times/appliance)</t>
  </si>
  <si>
    <t>Rank</t>
  </si>
  <si>
    <t>Very High</t>
  </si>
  <si>
    <t>High</t>
  </si>
  <si>
    <t>Moderate</t>
  </si>
  <si>
    <t>Low</t>
  </si>
  <si>
    <t>Very Low</t>
  </si>
  <si>
    <t>Failure eliminated through preventive control</t>
  </si>
  <si>
    <t>Opportunity for Detection</t>
  </si>
  <si>
    <t>Criteria: Likelihood Detection by Process control</t>
  </si>
  <si>
    <t>Likelihood of Detection</t>
  </si>
  <si>
    <t>No Detection Opportunity</t>
  </si>
  <si>
    <t>No current process control: Cannot detect or is not analyzed</t>
  </si>
  <si>
    <t>Almost Impossible</t>
  </si>
  <si>
    <t>Not Likely to detect at any stage</t>
  </si>
  <si>
    <t>Failure Mode and/or Error (Cause) is not easily detected (e.g., random audits)</t>
  </si>
  <si>
    <t>Very Remote</t>
  </si>
  <si>
    <t>Problem Detection Post Processing</t>
  </si>
  <si>
    <t>Failure Mode detection post-processing by operator through visual/tactile/audible means</t>
  </si>
  <si>
    <t>Remote</t>
  </si>
  <si>
    <t>Problem Detection at Source</t>
  </si>
  <si>
    <t>Failure Mode detection in-station by operator through visual/tactile/audible means or post processing through use of attribute gauging (go/no-go, manual torque check/clicker wrench, etc.</t>
  </si>
  <si>
    <t>Failure Mode detection in-station by operator through use of variable gauging or in-station by operator through use of attribute gauging (go/no-go, manual torque check/clicker wrench, etc.</t>
  </si>
  <si>
    <t>Failure Mode detection in-station by operator through use of variable gauging or by automated controls in-station that will detect discrepant part and notify operator (light, buzzer, etc.). Gauging performed on setup and first-piece check (for set-up causes only)</t>
  </si>
  <si>
    <t>Failure Mode detection post processing by automated controls that will detect discrepant part and lock part to prevent further processing</t>
  </si>
  <si>
    <t>Moderately High</t>
  </si>
  <si>
    <t>Failure Mode detection in-station by automated controls that will detect discrepant part and automatically lock part in station to prevent further processing</t>
  </si>
  <si>
    <t>Error Detection and/or Problem Prevention</t>
  </si>
  <si>
    <t>Error (Cause)detection in-station by automated controls that will detect error and prevent discrepant part from being made.</t>
  </si>
  <si>
    <t>Very high</t>
  </si>
  <si>
    <t>Detection not applicable: Error Prevention</t>
  </si>
  <si>
    <t>Error (Cause) prevention as a result of fixture design, machine design or part design.  Discrepant parts cannot be made because item has error-proofed by process/product design</t>
  </si>
  <si>
    <t>Almost Certain</t>
  </si>
  <si>
    <t>Effect</t>
  </si>
  <si>
    <t>Criteria: Severity of Effect on Product (Customer Effect)</t>
  </si>
  <si>
    <t>Criteria: Severity Effect on Process (Manufacturing/Assembly Effect)</t>
  </si>
  <si>
    <t>Failure to Meet Safety and/or regulatory requirements</t>
  </si>
  <si>
    <t>Customer endangered due to the adverse effect on safe system performance</t>
  </si>
  <si>
    <t>May endanger operator (machine or assembly) without warning</t>
  </si>
  <si>
    <t>Failure results in violation of governmental regulations</t>
  </si>
  <si>
    <t>May endanger operator (machine or assembly) with warning</t>
  </si>
  <si>
    <t>Loss or Degradation of Primary Function</t>
  </si>
  <si>
    <t>Very high degree of dissatisfaction due to the loss of function without a negative impact on safety or governmental regulations</t>
  </si>
  <si>
    <t>Major Disruption</t>
  </si>
  <si>
    <t>100% of product may have to be scrapped.  Line shutdown or warehouse hold</t>
  </si>
  <si>
    <t>High degree of customer dissatisfaction due to component failure without complete loss of function.  Productivity impacted by high scrap or rework levels.</t>
  </si>
  <si>
    <t>Significant Disruption</t>
  </si>
  <si>
    <t>a portion of the production run may have to be scrapped.  Deviation from primary process including decreased line speed or added manpower.</t>
  </si>
  <si>
    <t>Loss or Degradation of Secondary Function</t>
  </si>
  <si>
    <t>Warranty repair or significant manufacturing or assembly complaint</t>
  </si>
  <si>
    <t>Moderate Disruption</t>
  </si>
  <si>
    <t>100% of production run may have to be reworked off line and accepted</t>
  </si>
  <si>
    <t>Customer is made uncomfortable or their productivity is reduced by the continued degradation of the effect</t>
  </si>
  <si>
    <t>A portion of the production run may have to be reworked off line and accepted</t>
  </si>
  <si>
    <t>Annoyance</t>
  </si>
  <si>
    <t>Customer dissatisfaction due to reduced performance</t>
  </si>
  <si>
    <t>100% of production run may have to be reworked in station before it is processed</t>
  </si>
  <si>
    <t>Customer will experience annoyance due to the slight degradation of performance</t>
  </si>
  <si>
    <t>A portion of production run may have to be reworked in station before it is processed</t>
  </si>
  <si>
    <t>Customer will probably experience slight annoyance</t>
  </si>
  <si>
    <t>Minor Disruption</t>
  </si>
  <si>
    <t>slight inconvenience to the process, operation or operator</t>
  </si>
  <si>
    <t>No effect</t>
  </si>
  <si>
    <t>Customer will not notice the adverse effect or it is insignificant</t>
  </si>
  <si>
    <t>No discernable effect.</t>
  </si>
  <si>
    <t>Added Tabs for Ocurance, Detection and Severity Rankings</t>
  </si>
  <si>
    <t>50 per thousand 1 in 20</t>
  </si>
  <si>
    <t>20 per thousand 1 in 50</t>
  </si>
  <si>
    <t>10 per thousand 1 in 100</t>
  </si>
  <si>
    <t>2 per thousand 1 in 500</t>
  </si>
  <si>
    <t>0.5 per thousand1 in 2,000</t>
  </si>
  <si>
    <t>0.1 per thousand 1 in 10,000</t>
  </si>
  <si>
    <t>0.01 per thousand 1 in 100,000</t>
  </si>
  <si>
    <r>
      <rPr>
        <sz val="11"/>
        <color theme="1"/>
        <rFont val="Calibri"/>
        <family val="2"/>
      </rPr>
      <t>≤</t>
    </r>
    <r>
      <rPr>
        <sz val="10"/>
        <rFont val="Arial"/>
        <family val="2"/>
      </rPr>
      <t>0.001 per thousand 1 in 1,000,000</t>
    </r>
  </si>
  <si>
    <r>
      <t>≥</t>
    </r>
    <r>
      <rPr>
        <sz val="10"/>
        <rFont val="Arial"/>
        <family val="2"/>
      </rPr>
      <t xml:space="preserve"> 100 per thousand ≥ 1 in 10</t>
    </r>
  </si>
  <si>
    <t>Elliot Snow</t>
  </si>
  <si>
    <t>Added Instructions on retaining document</t>
  </si>
  <si>
    <t>2) NPI and current production should update this document as new information is discovered.</t>
  </si>
  <si>
    <t>1) PFMEA should  be maintained in Windchill to baseline the process FMEA.  Document Nomenclature should follow FRM-XXX(site)-XXX(process)-XXX(sequential) "PFMEA &lt;Specify the process in the name description&gt;"</t>
  </si>
  <si>
    <t>To maintain historic knowledge and make this a working document:</t>
  </si>
  <si>
    <t>Guidelines on PFMEAs</t>
  </si>
  <si>
    <t>Guidelines on Fishbones</t>
  </si>
  <si>
    <t>1) document root cause via fishbone of desired process failure modes 
by using Fishbone diagrams,</t>
  </si>
  <si>
    <t>10 of 10</t>
  </si>
  <si>
    <t xml:space="preserve">Page: </t>
  </si>
  <si>
    <t>Added Fishbone to template and updated to current format</t>
  </si>
  <si>
    <t>1 of 10</t>
  </si>
  <si>
    <t>2 of 10</t>
  </si>
  <si>
    <t>3 of 10</t>
  </si>
  <si>
    <t>5 of 10</t>
  </si>
  <si>
    <t>4 of 10</t>
  </si>
  <si>
    <t>8 of 10</t>
  </si>
  <si>
    <t>7 of 10</t>
  </si>
  <si>
    <t>6 of 10</t>
  </si>
  <si>
    <t>9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</si>
</sst>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indexed="8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Tahoma"/>
      <family val="2"/>
    </font>
    <font>
      <i/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28"/>
      <name val="GELogoFont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19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4" fillId="0" borderId="5" xfId="0" applyFont="1" applyBorder="1" applyAlignment="1">
      <alignment horizontal="centerContinuous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/>
    </xf>
    <xf numFmtId="0" fontId="4" fillId="0" borderId="7" xfId="0" applyFont="1" applyBorder="1" applyAlignment="1">
      <alignment vertical="top" wrapText="1"/>
    </xf>
    <xf numFmtId="0" fontId="0" fillId="0" borderId="7" xfId="0" applyBorder="1" applyAlignment="1" applyProtection="1">
      <alignment horizontal="center" vertical="top"/>
      <protection locked="0"/>
    </xf>
    <xf numFmtId="14" fontId="0" fillId="0" borderId="7" xfId="0" applyNumberFormat="1" applyBorder="1" applyAlignment="1" applyProtection="1">
      <alignment horizontal="center" vertical="top"/>
      <protection locked="0"/>
    </xf>
    <xf numFmtId="0" fontId="0" fillId="0" borderId="0" xfId="0" applyAlignment="1">
      <alignment horizontal="right" wrapText="1"/>
    </xf>
    <xf numFmtId="0" fontId="4" fillId="0" borderId="0" xfId="1"/>
    <xf numFmtId="0" fontId="4" fillId="2" borderId="0" xfId="1" applyFill="1"/>
    <xf numFmtId="0" fontId="8" fillId="2" borderId="0" xfId="1" applyFont="1" applyFill="1"/>
    <xf numFmtId="0" fontId="10" fillId="2" borderId="0" xfId="1" applyFont="1" applyFill="1"/>
    <xf numFmtId="0" fontId="7" fillId="2" borderId="0" xfId="1" applyFont="1" applyFill="1"/>
    <xf numFmtId="0" fontId="9" fillId="2" borderId="0" xfId="1" applyFont="1" applyFill="1"/>
    <xf numFmtId="0" fontId="13" fillId="2" borderId="15" xfId="1" applyFont="1" applyFill="1" applyBorder="1" applyAlignment="1">
      <alignment horizontal="left"/>
    </xf>
    <xf numFmtId="0" fontId="14" fillId="2" borderId="16" xfId="1" applyFont="1" applyFill="1" applyBorder="1" applyAlignment="1">
      <alignment horizontal="right"/>
    </xf>
    <xf numFmtId="0" fontId="13" fillId="2" borderId="13" xfId="1" applyFont="1" applyFill="1" applyBorder="1" applyAlignment="1">
      <alignment horizontal="left"/>
    </xf>
    <xf numFmtId="0" fontId="14" fillId="2" borderId="9" xfId="1" applyFont="1" applyFill="1" applyBorder="1" applyAlignment="1">
      <alignment horizontal="right"/>
    </xf>
    <xf numFmtId="0" fontId="4" fillId="2" borderId="13" xfId="1" applyFill="1" applyBorder="1"/>
    <xf numFmtId="0" fontId="16" fillId="2" borderId="9" xfId="1" applyFont="1" applyFill="1" applyBorder="1"/>
    <xf numFmtId="14" fontId="13" fillId="2" borderId="13" xfId="1" applyNumberFormat="1" applyFont="1" applyFill="1" applyBorder="1" applyAlignment="1">
      <alignment horizontal="left"/>
    </xf>
    <xf numFmtId="0" fontId="4" fillId="2" borderId="9" xfId="1" applyFill="1" applyBorder="1"/>
    <xf numFmtId="0" fontId="0" fillId="0" borderId="7" xfId="0" applyBorder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2" fillId="0" borderId="0" xfId="0" applyFont="1" applyAlignment="1">
      <alignment vertical="top" wrapText="1"/>
    </xf>
    <xf numFmtId="0" fontId="1" fillId="0" borderId="0" xfId="3"/>
    <xf numFmtId="0" fontId="1" fillId="0" borderId="0" xfId="3" applyAlignment="1">
      <alignment horizontal="center"/>
    </xf>
    <xf numFmtId="0" fontId="1" fillId="0" borderId="0" xfId="3" applyAlignment="1">
      <alignment wrapText="1"/>
    </xf>
    <xf numFmtId="0" fontId="1" fillId="0" borderId="7" xfId="3" applyBorder="1" applyAlignment="1">
      <alignment horizontal="center" vertical="center" wrapText="1"/>
    </xf>
    <xf numFmtId="0" fontId="4" fillId="2" borderId="7" xfId="1" applyFill="1" applyBorder="1" applyAlignment="1">
      <alignment horizontal="center" vertical="center"/>
    </xf>
    <xf numFmtId="14" fontId="4" fillId="2" borderId="7" xfId="1" applyNumberFormat="1" applyFill="1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23" fillId="0" borderId="8" xfId="3" applyFont="1" applyBorder="1" applyAlignment="1">
      <alignment horizont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/>
    </xf>
    <xf numFmtId="0" fontId="24" fillId="0" borderId="7" xfId="3" applyFont="1" applyBorder="1" applyAlignment="1">
      <alignment horizontal="center" vertical="center" wrapText="1"/>
    </xf>
    <xf numFmtId="0" fontId="1" fillId="0" borderId="7" xfId="3" applyBorder="1" applyAlignment="1">
      <alignment horizontal="left" vertical="center" wrapText="1"/>
    </xf>
    <xf numFmtId="0" fontId="8" fillId="2" borderId="7" xfId="1" applyFont="1" applyFill="1" applyBorder="1" applyAlignment="1">
      <alignment horizontal="center"/>
    </xf>
    <xf numFmtId="14" fontId="8" fillId="2" borderId="7" xfId="1" applyNumberFormat="1" applyFont="1" applyFill="1" applyBorder="1" applyAlignment="1">
      <alignment horizontal="center"/>
    </xf>
    <xf numFmtId="0" fontId="20" fillId="2" borderId="0" xfId="1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2" borderId="7" xfId="1" applyFill="1" applyBorder="1" applyAlignment="1">
      <alignment vertical="center"/>
    </xf>
    <xf numFmtId="0" fontId="4" fillId="2" borderId="7" xfId="1" applyFill="1" applyBorder="1"/>
    <xf numFmtId="0" fontId="8" fillId="2" borderId="7" xfId="1" applyFont="1" applyFill="1" applyBorder="1" applyAlignment="1">
      <alignment wrapText="1"/>
    </xf>
    <xf numFmtId="0" fontId="18" fillId="0" borderId="10" xfId="1" applyFont="1" applyBorder="1"/>
    <xf numFmtId="0" fontId="5" fillId="0" borderId="7" xfId="0" applyFont="1" applyBorder="1" applyAlignment="1">
      <alignment horizontal="centerContinuous" vertical="center"/>
    </xf>
    <xf numFmtId="0" fontId="21" fillId="2" borderId="0" xfId="1" applyFont="1" applyFill="1"/>
    <xf numFmtId="0" fontId="22" fillId="2" borderId="0" xfId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5" fillId="2" borderId="9" xfId="1" applyFont="1" applyFill="1" applyBorder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4" fillId="2" borderId="0" xfId="1" applyFont="1" applyFill="1" applyAlignment="1">
      <alignment horizontal="right"/>
    </xf>
    <xf numFmtId="0" fontId="22" fillId="2" borderId="9" xfId="1" applyFont="1" applyFill="1" applyBorder="1" applyAlignment="1">
      <alignment horizontal="center"/>
    </xf>
    <xf numFmtId="0" fontId="22" fillId="2" borderId="10" xfId="1" applyFont="1" applyFill="1" applyBorder="1" applyAlignment="1">
      <alignment horizontal="center"/>
    </xf>
    <xf numFmtId="0" fontId="22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right"/>
    </xf>
    <xf numFmtId="0" fontId="13" fillId="2" borderId="14" xfId="1" applyFont="1" applyFill="1" applyBorder="1" applyAlignment="1">
      <alignment horizontal="left"/>
    </xf>
    <xf numFmtId="0" fontId="18" fillId="0" borderId="2" xfId="1" applyFont="1" applyBorder="1"/>
    <xf numFmtId="0" fontId="4" fillId="2" borderId="6" xfId="1" applyFill="1" applyBorder="1"/>
    <xf numFmtId="0" fontId="16" fillId="2" borderId="6" xfId="1" applyFont="1" applyFill="1" applyBorder="1"/>
    <xf numFmtId="0" fontId="16" fillId="2" borderId="8" xfId="1" applyFont="1" applyFill="1" applyBorder="1"/>
    <xf numFmtId="0" fontId="15" fillId="2" borderId="1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right"/>
    </xf>
    <xf numFmtId="0" fontId="1" fillId="0" borderId="9" xfId="3" applyBorder="1"/>
    <xf numFmtId="0" fontId="0" fillId="0" borderId="18" xfId="0" applyBorder="1"/>
    <xf numFmtId="0" fontId="3" fillId="0" borderId="19" xfId="0" applyFont="1" applyBorder="1" applyAlignment="1" applyProtection="1">
      <alignment vertical="top" wrapText="1"/>
      <protection locked="0"/>
    </xf>
    <xf numFmtId="0" fontId="3" fillId="0" borderId="19" xfId="0" applyFont="1" applyBorder="1" applyAlignment="1" applyProtection="1">
      <alignment horizontal="center" vertical="top" wrapText="1"/>
      <protection locked="0"/>
    </xf>
    <xf numFmtId="0" fontId="3" fillId="0" borderId="20" xfId="0" applyFont="1" applyBorder="1" applyAlignment="1" applyProtection="1">
      <alignment horizontal="center" vertical="top" wrapText="1"/>
      <protection locked="0"/>
    </xf>
    <xf numFmtId="0" fontId="0" fillId="0" borderId="21" xfId="0" applyBorder="1"/>
    <xf numFmtId="0" fontId="3" fillId="0" borderId="7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center" vertical="top" wrapText="1"/>
      <protection locked="0"/>
    </xf>
    <xf numFmtId="0" fontId="3" fillId="0" borderId="22" xfId="0" applyFont="1" applyBorder="1" applyAlignment="1" applyProtection="1">
      <alignment horizontal="center" vertical="top" wrapText="1"/>
      <protection locked="0"/>
    </xf>
    <xf numFmtId="0" fontId="0" fillId="0" borderId="23" xfId="0" applyBorder="1"/>
    <xf numFmtId="0" fontId="3" fillId="0" borderId="24" xfId="0" applyFont="1" applyBorder="1" applyAlignment="1" applyProtection="1">
      <alignment vertical="top" wrapText="1"/>
      <protection locked="0"/>
    </xf>
    <xf numFmtId="0" fontId="3" fillId="0" borderId="24" xfId="0" applyFont="1" applyBorder="1" applyAlignment="1" applyProtection="1">
      <alignment horizontal="center" vertical="top" wrapText="1"/>
      <protection locked="0"/>
    </xf>
    <xf numFmtId="0" fontId="3" fillId="0" borderId="25" xfId="0" applyFont="1" applyBorder="1" applyAlignment="1" applyProtection="1">
      <alignment horizontal="center" vertical="top" wrapText="1"/>
      <protection locked="0"/>
    </xf>
    <xf numFmtId="0" fontId="16" fillId="2" borderId="10" xfId="1" applyFont="1" applyFill="1" applyBorder="1"/>
    <xf numFmtId="0" fontId="4" fillId="2" borderId="14" xfId="1" applyFill="1" applyBorder="1"/>
    <xf numFmtId="0" fontId="0" fillId="2" borderId="7" xfId="0" applyFill="1" applyBorder="1"/>
    <xf numFmtId="0" fontId="0" fillId="0" borderId="7" xfId="0" applyBorder="1"/>
    <xf numFmtId="0" fontId="2" fillId="2" borderId="7" xfId="0" applyFont="1" applyFill="1" applyBorder="1"/>
    <xf numFmtId="0" fontId="0" fillId="2" borderId="7" xfId="0" applyFill="1" applyBorder="1" applyAlignment="1">
      <alignment wrapText="1"/>
    </xf>
    <xf numFmtId="0" fontId="17" fillId="0" borderId="12" xfId="1" applyFont="1" applyBorder="1" applyAlignment="1">
      <alignment wrapText="1"/>
    </xf>
    <xf numFmtId="0" fontId="17" fillId="0" borderId="11" xfId="1" applyFont="1" applyBorder="1" applyAlignment="1">
      <alignment horizontal="right" wrapText="1"/>
    </xf>
    <xf numFmtId="0" fontId="17" fillId="0" borderId="11" xfId="1" applyFont="1" applyBorder="1" applyAlignment="1">
      <alignment horizontal="center" wrapText="1"/>
    </xf>
    <xf numFmtId="0" fontId="17" fillId="0" borderId="17" xfId="1" applyFont="1" applyBorder="1" applyAlignment="1">
      <alignment horizontal="center" wrapText="1"/>
    </xf>
    <xf numFmtId="0" fontId="17" fillId="0" borderId="12" xfId="1" applyFont="1" applyBorder="1" applyAlignment="1">
      <alignment horizontal="center" wrapText="1"/>
    </xf>
    <xf numFmtId="0" fontId="15" fillId="2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18" fillId="0" borderId="11" xfId="1" applyFont="1" applyBorder="1" applyAlignment="1">
      <alignment horizontal="left"/>
    </xf>
    <xf numFmtId="0" fontId="18" fillId="0" borderId="12" xfId="1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 wrapText="1" shrinkToFit="1"/>
    </xf>
    <xf numFmtId="0" fontId="3" fillId="0" borderId="6" xfId="0" applyFont="1" applyBorder="1" applyAlignment="1">
      <alignment horizontal="center" vertical="center" textRotation="90" wrapText="1" shrinkToFi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17" fillId="0" borderId="9" xfId="1" applyFont="1" applyBorder="1" applyAlignment="1">
      <alignment horizontal="center" wrapText="1"/>
    </xf>
    <xf numFmtId="0" fontId="17" fillId="0" borderId="13" xfId="1" applyFont="1" applyBorder="1" applyAlignment="1">
      <alignment horizontal="center" wrapText="1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2" xfId="0" applyBorder="1" applyAlignment="1" applyProtection="1">
      <alignment horizontal="center" vertical="top" wrapText="1"/>
      <protection locked="0"/>
    </xf>
    <xf numFmtId="0" fontId="0" fillId="0" borderId="7" xfId="0" applyBorder="1" applyAlignment="1" applyProtection="1">
      <alignment horizontal="center" vertical="top" wrapText="1"/>
      <protection locked="0"/>
    </xf>
    <xf numFmtId="0" fontId="18" fillId="0" borderId="11" xfId="1" applyFont="1" applyBorder="1" applyAlignment="1">
      <alignment horizontal="center"/>
    </xf>
    <xf numFmtId="0" fontId="18" fillId="0" borderId="12" xfId="1" applyFont="1" applyBorder="1" applyAlignment="1">
      <alignment horizontal="center"/>
    </xf>
    <xf numFmtId="0" fontId="18" fillId="0" borderId="9" xfId="1" applyFont="1" applyBorder="1" applyAlignment="1">
      <alignment horizontal="center"/>
    </xf>
    <xf numFmtId="0" fontId="18" fillId="0" borderId="13" xfId="1" applyFont="1" applyBorder="1" applyAlignment="1">
      <alignment horizontal="center"/>
    </xf>
    <xf numFmtId="0" fontId="18" fillId="0" borderId="10" xfId="1" applyFont="1" applyBorder="1" applyAlignment="1">
      <alignment horizontal="center"/>
    </xf>
    <xf numFmtId="0" fontId="18" fillId="0" borderId="14" xfId="1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1" fillId="0" borderId="7" xfId="3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24" fillId="0" borderId="7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/>
    </xf>
    <xf numFmtId="0" fontId="18" fillId="0" borderId="6" xfId="1" applyFont="1" applyBorder="1" applyAlignment="1">
      <alignment horizontal="center"/>
    </xf>
    <xf numFmtId="0" fontId="18" fillId="0" borderId="8" xfId="1" applyFont="1" applyBorder="1" applyAlignment="1">
      <alignment horizontal="center"/>
    </xf>
    <xf numFmtId="0" fontId="23" fillId="0" borderId="8" xfId="3" applyFont="1" applyBorder="1" applyAlignment="1">
      <alignment horizontal="center" wrapText="1"/>
    </xf>
    <xf numFmtId="0" fontId="23" fillId="0" borderId="8" xfId="3" applyFont="1" applyBorder="1" applyAlignment="1">
      <alignment horizontal="center" vertical="center" wrapText="1"/>
    </xf>
    <xf numFmtId="0" fontId="18" fillId="0" borderId="9" xfId="1" applyFont="1" applyBorder="1" applyAlignment="1">
      <alignment horizontal="left"/>
    </xf>
    <xf numFmtId="0" fontId="18" fillId="0" borderId="13" xfId="1" applyFont="1" applyBorder="1" applyAlignment="1">
      <alignment horizontal="left"/>
    </xf>
    <xf numFmtId="0" fontId="4" fillId="2" borderId="3" xfId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5" xfId="1" applyFill="1" applyBorder="1" applyAlignment="1">
      <alignment horizontal="left"/>
    </xf>
    <xf numFmtId="0" fontId="9" fillId="2" borderId="7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 wrapText="1"/>
    </xf>
    <xf numFmtId="0" fontId="12" fillId="2" borderId="7" xfId="1" applyFont="1" applyFill="1" applyBorder="1" applyAlignment="1">
      <alignment horizontal="left" vertical="top"/>
    </xf>
    <xf numFmtId="0" fontId="8" fillId="2" borderId="3" xfId="1" applyFont="1" applyFill="1" applyBorder="1" applyAlignment="1">
      <alignment horizontal="left" wrapText="1"/>
    </xf>
    <xf numFmtId="0" fontId="8" fillId="2" borderId="4" xfId="1" applyFont="1" applyFill="1" applyBorder="1" applyAlignment="1">
      <alignment horizontal="left" wrapText="1"/>
    </xf>
    <xf numFmtId="0" fontId="8" fillId="2" borderId="5" xfId="1" applyFont="1" applyFill="1" applyBorder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12" fillId="2" borderId="7" xfId="1" applyFont="1" applyFill="1" applyBorder="1" applyAlignment="1">
      <alignment horizontal="center" vertical="center"/>
    </xf>
    <xf numFmtId="0" fontId="4" fillId="2" borderId="3" xfId="1" applyFill="1" applyBorder="1" applyAlignment="1">
      <alignment horizontal="left" vertical="center"/>
    </xf>
    <xf numFmtId="0" fontId="4" fillId="2" borderId="4" xfId="1" applyFill="1" applyBorder="1" applyAlignment="1">
      <alignment horizontal="left" vertical="center"/>
    </xf>
    <xf numFmtId="0" fontId="4" fillId="2" borderId="5" xfId="1" applyFill="1" applyBorder="1" applyAlignment="1">
      <alignment horizontal="left" vertical="center"/>
    </xf>
    <xf numFmtId="0" fontId="7" fillId="2" borderId="0" xfId="1" applyFont="1" applyFill="1" applyAlignment="1">
      <alignment horizontal="center"/>
    </xf>
    <xf numFmtId="0" fontId="4" fillId="2" borderId="3" xfId="1" applyFill="1" applyBorder="1" applyAlignment="1">
      <alignment horizontal="center"/>
    </xf>
    <xf numFmtId="0" fontId="4" fillId="2" borderId="5" xfId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left"/>
    </xf>
    <xf numFmtId="14" fontId="8" fillId="2" borderId="7" xfId="1" applyNumberFormat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327659</xdr:colOff>
      <xdr:row>0</xdr:row>
      <xdr:rowOff>359098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38100</xdr:rowOff>
    </xdr:from>
    <xdr:to>
      <xdr:col>1</xdr:col>
      <xdr:colOff>647699</xdr:colOff>
      <xdr:row>2</xdr:row>
      <xdr:rowOff>8578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60960" y="3810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1196339</xdr:colOff>
      <xdr:row>1</xdr:row>
      <xdr:rowOff>138118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1196339</xdr:colOff>
      <xdr:row>0</xdr:row>
      <xdr:rowOff>359098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1196339</xdr:colOff>
      <xdr:row>0</xdr:row>
      <xdr:rowOff>359098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25</xdr:row>
      <xdr:rowOff>28575</xdr:rowOff>
    </xdr:from>
    <xdr:to>
      <xdr:col>18</xdr:col>
      <xdr:colOff>142875</xdr:colOff>
      <xdr:row>25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C5A4F9C-5324-4CFD-B2E7-E3D46E06F9C7}"/>
            </a:ext>
          </a:extLst>
        </xdr:cNvPr>
        <xdr:cNvCxnSpPr/>
      </xdr:nvCxnSpPr>
      <xdr:spPr>
        <a:xfrm>
          <a:off x="209550" y="2619375"/>
          <a:ext cx="10906125" cy="0"/>
        </a:xfrm>
        <a:prstGeom prst="straightConnector1">
          <a:avLst/>
        </a:prstGeom>
        <a:ln w="47625" cmpd="sng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17318</xdr:colOff>
      <xdr:row>25</xdr:row>
      <xdr:rowOff>22513</xdr:rowOff>
    </xdr:from>
    <xdr:to>
      <xdr:col>12</xdr:col>
      <xdr:colOff>372341</xdr:colOff>
      <xdr:row>42</xdr:row>
      <xdr:rowOff>-1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5815552-C613-4C1E-9897-05970BBDFC97}"/>
            </a:ext>
          </a:extLst>
        </xdr:cNvPr>
        <xdr:cNvGrpSpPr/>
      </xdr:nvGrpSpPr>
      <xdr:grpSpPr>
        <a:xfrm>
          <a:off x="2926773" y="6031922"/>
          <a:ext cx="6173932" cy="4393622"/>
          <a:chOff x="1746852" y="2657475"/>
          <a:chExt cx="4101498" cy="2362200"/>
        </a:xfrm>
      </xdr:grpSpPr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98F8A346-5C03-400B-B78D-B1957E714FE5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45CDB0F9-D8C5-4211-98F0-0239035B7075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2A8C51C-BC13-4651-9DA1-5478FBD53DEC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5E60E246-69B6-4F8E-9594-A146F66EFC2C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24ED6893-CABD-4745-8BBA-15291EB2E03D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24E742F8-C01C-4416-96FB-DDEB31437485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Measurement</a:t>
            </a:r>
          </a:p>
        </xdr:txBody>
      </xdr:sp>
    </xdr:grpSp>
    <xdr:clientData/>
  </xdr:twoCellAnchor>
  <xdr:twoCellAnchor>
    <xdr:from>
      <xdr:col>10</xdr:col>
      <xdr:colOff>190500</xdr:colOff>
      <xdr:row>5</xdr:row>
      <xdr:rowOff>121228</xdr:rowOff>
    </xdr:from>
    <xdr:to>
      <xdr:col>17</xdr:col>
      <xdr:colOff>548120</xdr:colOff>
      <xdr:row>25</xdr:row>
      <xdr:rowOff>28575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52BCBBC6-5B54-4B76-8540-FD598B201FCF}"/>
            </a:ext>
          </a:extLst>
        </xdr:cNvPr>
        <xdr:cNvGrpSpPr/>
      </xdr:nvGrpSpPr>
      <xdr:grpSpPr>
        <a:xfrm>
          <a:off x="7464136" y="969819"/>
          <a:ext cx="5449166" cy="5068165"/>
          <a:chOff x="2370177" y="219075"/>
          <a:chExt cx="4011573" cy="2371725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9935EC58-881B-4EE6-A670-44CB017785D8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9BAFC14C-D98E-4445-B3B0-206281B89FE0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4948D444-7E66-4082-A736-3622EFCE36AF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BF967C9-F60D-4B52-A23A-45CCD65393BD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516EC283-87EE-4E39-9CD5-5E3AD485118C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A85CE5F7-0A77-408A-8053-38ED0A6CEAE0}"/>
              </a:ext>
            </a:extLst>
          </xdr:cNvPr>
          <xdr:cNvSpPr/>
        </xdr:nvSpPr>
        <xdr:spPr>
          <a:xfrm>
            <a:off x="3067050" y="219075"/>
            <a:ext cx="1177277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Mother Nature</a:t>
            </a:r>
          </a:p>
        </xdr:txBody>
      </xdr:sp>
    </xdr:grpSp>
    <xdr:clientData/>
  </xdr:twoCellAnchor>
  <xdr:twoCellAnchor>
    <xdr:from>
      <xdr:col>18</xdr:col>
      <xdr:colOff>85724</xdr:colOff>
      <xdr:row>18</xdr:row>
      <xdr:rowOff>38100</xdr:rowOff>
    </xdr:from>
    <xdr:to>
      <xdr:col>21</xdr:col>
      <xdr:colOff>552449</xdr:colOff>
      <xdr:row>31</xdr:row>
      <xdr:rowOff>142875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7F37F48D-3744-472A-97B8-5AF7B934700A}"/>
            </a:ext>
          </a:extLst>
        </xdr:cNvPr>
        <xdr:cNvGrpSpPr/>
      </xdr:nvGrpSpPr>
      <xdr:grpSpPr>
        <a:xfrm>
          <a:off x="13178269" y="4229100"/>
          <a:ext cx="2285135" cy="3481820"/>
          <a:chOff x="11801474" y="1428750"/>
          <a:chExt cx="2295525" cy="2209800"/>
        </a:xfrm>
      </xdr:grpSpPr>
      <xdr:pic>
        <xdr:nvPicPr>
          <xdr:cNvPr id="58" name="Picture 57" descr="Fish Bone Diagram">
            <a:extLst>
              <a:ext uri="{FF2B5EF4-FFF2-40B4-BE49-F238E27FC236}">
                <a16:creationId xmlns:a16="http://schemas.microsoft.com/office/drawing/2014/main" id="{C4B29B3C-99A6-4F5B-A321-3A94A2FE215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462" r="69500" b="12178"/>
          <a:stretch/>
        </xdr:blipFill>
        <xdr:spPr bwMode="auto">
          <a:xfrm flipH="1">
            <a:off x="11801474" y="1428750"/>
            <a:ext cx="2295525" cy="2209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2DA506FE-E573-417F-AB64-EB6F26A484F3}"/>
              </a:ext>
            </a:extLst>
          </xdr:cNvPr>
          <xdr:cNvSpPr/>
        </xdr:nvSpPr>
        <xdr:spPr>
          <a:xfrm>
            <a:off x="11915775" y="2324101"/>
            <a:ext cx="981075" cy="40005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Failure Mode</a:t>
            </a:r>
          </a:p>
        </xdr:txBody>
      </xdr:sp>
    </xdr:grpSp>
    <xdr:clientData/>
  </xdr:twoCellAnchor>
  <xdr:twoCellAnchor>
    <xdr:from>
      <xdr:col>8</xdr:col>
      <xdr:colOff>308264</xdr:colOff>
      <xdr:row>25</xdr:row>
      <xdr:rowOff>88322</xdr:rowOff>
    </xdr:from>
    <xdr:to>
      <xdr:col>16</xdr:col>
      <xdr:colOff>663287</xdr:colOff>
      <xdr:row>42</xdr:row>
      <xdr:rowOff>65808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E165191A-2407-413F-ACA1-90856BCAF928}"/>
            </a:ext>
          </a:extLst>
        </xdr:cNvPr>
        <xdr:cNvGrpSpPr/>
      </xdr:nvGrpSpPr>
      <xdr:grpSpPr>
        <a:xfrm>
          <a:off x="6127173" y="6097731"/>
          <a:ext cx="6173932" cy="4393622"/>
          <a:chOff x="1746852" y="2657475"/>
          <a:chExt cx="4101498" cy="2362200"/>
        </a:xfrm>
      </xdr:grpSpPr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79CAD353-DBC8-4FFC-B007-FEC8BC0D8644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9CDB4D7D-723D-4D3A-AF6A-B33B36BA7E11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344A9885-D087-4135-B6E3-AFC3B98E144A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C1952777-9D3E-48DB-855B-81E4E351C128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942BB683-F5BD-4338-82A4-6BA3820EC3F2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1C48014D-DB50-49BC-87B2-3B884C73C219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Machine</a:t>
            </a:r>
          </a:p>
        </xdr:txBody>
      </xdr:sp>
    </xdr:grpSp>
    <xdr:clientData/>
  </xdr:twoCellAnchor>
  <xdr:twoCellAnchor>
    <xdr:from>
      <xdr:col>0</xdr:col>
      <xdr:colOff>0</xdr:colOff>
      <xdr:row>25</xdr:row>
      <xdr:rowOff>50223</xdr:rowOff>
    </xdr:from>
    <xdr:to>
      <xdr:col>8</xdr:col>
      <xdr:colOff>355023</xdr:colOff>
      <xdr:row>42</xdr:row>
      <xdr:rowOff>27709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9214E832-694E-4428-8C3A-7CDC70931400}"/>
            </a:ext>
          </a:extLst>
        </xdr:cNvPr>
        <xdr:cNvGrpSpPr/>
      </xdr:nvGrpSpPr>
      <xdr:grpSpPr>
        <a:xfrm>
          <a:off x="0" y="6059632"/>
          <a:ext cx="6173932" cy="4393622"/>
          <a:chOff x="1746852" y="2657475"/>
          <a:chExt cx="4101498" cy="2362200"/>
        </a:xfrm>
      </xdr:grpSpPr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2A88BFF4-D931-42A0-9B27-EA509D9F39A1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3ACBB6B4-2CFC-46E7-ADF4-F1A838A03EB2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E71C81E8-FE5E-4DD8-913E-CB88588CFFDD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338A5070-793E-4DE7-BF0D-08F269E2A7D0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7528CDAE-FDBA-4080-91B5-C8E8E5FC80B6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056978FE-431C-477D-B900-00DBF5BF73B2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Manpower</a:t>
            </a:r>
          </a:p>
        </xdr:txBody>
      </xdr:sp>
    </xdr:grpSp>
    <xdr:clientData/>
  </xdr:twoCellAnchor>
  <xdr:twoCellAnchor>
    <xdr:from>
      <xdr:col>0</xdr:col>
      <xdr:colOff>207818</xdr:colOff>
      <xdr:row>5</xdr:row>
      <xdr:rowOff>135083</xdr:rowOff>
    </xdr:from>
    <xdr:to>
      <xdr:col>7</xdr:col>
      <xdr:colOff>565439</xdr:colOff>
      <xdr:row>25</xdr:row>
      <xdr:rowOff>42430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86F47D6D-F751-4335-8621-A95BB6272225}"/>
            </a:ext>
          </a:extLst>
        </xdr:cNvPr>
        <xdr:cNvGrpSpPr/>
      </xdr:nvGrpSpPr>
      <xdr:grpSpPr>
        <a:xfrm>
          <a:off x="207818" y="983674"/>
          <a:ext cx="5449166" cy="5068165"/>
          <a:chOff x="2370177" y="219075"/>
          <a:chExt cx="4011573" cy="2371725"/>
        </a:xfrm>
      </xdr:grpSpPr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BFA342DF-7E56-4FF3-88A9-AB14D8967E81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F765DD0E-CA1C-446F-A82C-AFD3E6D62944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4DAE83AB-55F2-4352-974E-CC63A998439E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B16E457D-7A11-4AF9-BAAC-95E1F9D15DCF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FEF4E03F-4D88-46F8-9E65-EA4F1CC5D1F9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C319606A-CB31-4A1E-AEAC-D4D221509DA7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Materials</a:t>
            </a:r>
          </a:p>
        </xdr:txBody>
      </xdr:sp>
    </xdr:grpSp>
    <xdr:clientData/>
  </xdr:twoCellAnchor>
  <xdr:twoCellAnchor>
    <xdr:from>
      <xdr:col>5</xdr:col>
      <xdr:colOff>304799</xdr:colOff>
      <xdr:row>6</xdr:row>
      <xdr:rowOff>10392</xdr:rowOff>
    </xdr:from>
    <xdr:to>
      <xdr:col>12</xdr:col>
      <xdr:colOff>662419</xdr:colOff>
      <xdr:row>25</xdr:row>
      <xdr:rowOff>73603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FB722EEE-0EB2-4699-8177-D90FA783EFCB}"/>
            </a:ext>
          </a:extLst>
        </xdr:cNvPr>
        <xdr:cNvGrpSpPr/>
      </xdr:nvGrpSpPr>
      <xdr:grpSpPr>
        <a:xfrm>
          <a:off x="3941617" y="1014847"/>
          <a:ext cx="5449166" cy="5068165"/>
          <a:chOff x="2370177" y="219075"/>
          <a:chExt cx="4011573" cy="2371725"/>
        </a:xfrm>
      </xdr:grpSpPr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9EF3359E-D083-4B1E-B60B-ACDD2354B155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D333CBE8-DEE8-4273-91C9-3F382B049727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4CE2039D-AD3C-49B8-8744-E28E997A450B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40171BB4-ABAC-4136-8AE4-E0B1A1687235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66D9713-6240-470C-8546-FC90501180C4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75FC9C8-D724-498F-A296-EFFC0B86F2B2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Methods</a:t>
            </a:r>
          </a:p>
        </xdr:txBody>
      </xdr:sp>
    </xdr:grpSp>
    <xdr:clientData/>
  </xdr:twoCellAnchor>
  <xdr:twoCellAnchor>
    <xdr:from>
      <xdr:col>0</xdr:col>
      <xdr:colOff>38100</xdr:colOff>
      <xdr:row>0</xdr:row>
      <xdr:rowOff>30480</xdr:rowOff>
    </xdr:from>
    <xdr:to>
      <xdr:col>1</xdr:col>
      <xdr:colOff>624839</xdr:colOff>
      <xdr:row>1</xdr:row>
      <xdr:rowOff>168598</xdr:rowOff>
    </xdr:to>
    <xdr:pic>
      <xdr:nvPicPr>
        <xdr:cNvPr id="50" name="Picture 14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38100" y="30480"/>
          <a:ext cx="134111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25</xdr:row>
      <xdr:rowOff>28575</xdr:rowOff>
    </xdr:from>
    <xdr:to>
      <xdr:col>18</xdr:col>
      <xdr:colOff>142875</xdr:colOff>
      <xdr:row>25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E8FCB73-4D29-409B-B55C-D1B72909D85D}"/>
            </a:ext>
          </a:extLst>
        </xdr:cNvPr>
        <xdr:cNvCxnSpPr/>
      </xdr:nvCxnSpPr>
      <xdr:spPr>
        <a:xfrm>
          <a:off x="209550" y="5495925"/>
          <a:ext cx="13134975" cy="0"/>
        </a:xfrm>
        <a:prstGeom prst="straightConnector1">
          <a:avLst/>
        </a:prstGeom>
        <a:ln w="47625" cmpd="sng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17318</xdr:colOff>
      <xdr:row>25</xdr:row>
      <xdr:rowOff>22513</xdr:rowOff>
    </xdr:from>
    <xdr:to>
      <xdr:col>12</xdr:col>
      <xdr:colOff>372341</xdr:colOff>
      <xdr:row>41</xdr:row>
      <xdr:rowOff>257174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BDA1235-280D-41E1-93BB-68A34324A9EA}"/>
            </a:ext>
          </a:extLst>
        </xdr:cNvPr>
        <xdr:cNvGrpSpPr/>
      </xdr:nvGrpSpPr>
      <xdr:grpSpPr>
        <a:xfrm>
          <a:off x="2926773" y="6031922"/>
          <a:ext cx="6173932" cy="4391025"/>
          <a:chOff x="1746852" y="2657475"/>
          <a:chExt cx="4101498" cy="2362200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9E4A4FF0-CDAB-4278-B76F-40A8F0C08CA0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9FF8E652-A314-4A91-A980-9FAD2088D63E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98A15F23-40C7-4332-8356-260A0B6742A2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8E12A526-C447-4A74-94C3-160C2D1BEF22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90B7446-2522-4700-BB6B-B66333EE01EB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9C11387-8F6B-43AB-A586-D32B22CBDF42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Measurement</a:t>
            </a:r>
          </a:p>
        </xdr:txBody>
      </xdr:sp>
    </xdr:grpSp>
    <xdr:clientData/>
  </xdr:twoCellAnchor>
  <xdr:twoCellAnchor>
    <xdr:from>
      <xdr:col>10</xdr:col>
      <xdr:colOff>190500</xdr:colOff>
      <xdr:row>5</xdr:row>
      <xdr:rowOff>121228</xdr:rowOff>
    </xdr:from>
    <xdr:to>
      <xdr:col>17</xdr:col>
      <xdr:colOff>548120</xdr:colOff>
      <xdr:row>25</xdr:row>
      <xdr:rowOff>28575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3465F3E-0306-43C2-9FBD-EF5C61F23CFA}"/>
            </a:ext>
          </a:extLst>
        </xdr:cNvPr>
        <xdr:cNvGrpSpPr/>
      </xdr:nvGrpSpPr>
      <xdr:grpSpPr>
        <a:xfrm>
          <a:off x="7464136" y="969819"/>
          <a:ext cx="5449166" cy="5068165"/>
          <a:chOff x="2370177" y="219075"/>
          <a:chExt cx="4011573" cy="2371725"/>
        </a:xfrm>
      </xdr:grpSpPr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B6E6AC87-CFCF-4EBE-987A-057320D16C12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DC5564C0-382A-40FB-9E91-B61C319DFBA8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25E59E3B-D345-4F38-8506-BB96A3412753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E4E5225F-9D93-474D-8162-E0FE2AA32E50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4266F77-09DF-4B0B-86FF-27CC7AA7851E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E3A3E33-E456-4123-8F50-0B846334698A}"/>
              </a:ext>
            </a:extLst>
          </xdr:cNvPr>
          <xdr:cNvSpPr/>
        </xdr:nvSpPr>
        <xdr:spPr>
          <a:xfrm>
            <a:off x="3067050" y="219075"/>
            <a:ext cx="1177277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Mother Nature</a:t>
            </a:r>
          </a:p>
        </xdr:txBody>
      </xdr:sp>
    </xdr:grpSp>
    <xdr:clientData/>
  </xdr:twoCellAnchor>
  <xdr:twoCellAnchor>
    <xdr:from>
      <xdr:col>18</xdr:col>
      <xdr:colOff>85724</xdr:colOff>
      <xdr:row>18</xdr:row>
      <xdr:rowOff>38100</xdr:rowOff>
    </xdr:from>
    <xdr:to>
      <xdr:col>21</xdr:col>
      <xdr:colOff>552449</xdr:colOff>
      <xdr:row>31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92BC807-A5BA-4BC3-BEB1-F6B0CEAF6753}"/>
            </a:ext>
          </a:extLst>
        </xdr:cNvPr>
        <xdr:cNvGrpSpPr/>
      </xdr:nvGrpSpPr>
      <xdr:grpSpPr>
        <a:xfrm>
          <a:off x="13178269" y="4229100"/>
          <a:ext cx="2285135" cy="3481820"/>
          <a:chOff x="11801474" y="1428750"/>
          <a:chExt cx="2295525" cy="2209800"/>
        </a:xfrm>
      </xdr:grpSpPr>
      <xdr:pic>
        <xdr:nvPicPr>
          <xdr:cNvPr id="18" name="Picture 17" descr="Fish Bone Diagram">
            <a:extLst>
              <a:ext uri="{FF2B5EF4-FFF2-40B4-BE49-F238E27FC236}">
                <a16:creationId xmlns:a16="http://schemas.microsoft.com/office/drawing/2014/main" id="{22CA01DF-2FE9-47EA-B259-4B6CB403D0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462" r="69500" b="12178"/>
          <a:stretch/>
        </xdr:blipFill>
        <xdr:spPr bwMode="auto">
          <a:xfrm flipH="1">
            <a:off x="11801474" y="1428750"/>
            <a:ext cx="2295525" cy="2209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42F8CC1B-ABF7-4D80-8A7C-A910D261EDB3}"/>
              </a:ext>
            </a:extLst>
          </xdr:cNvPr>
          <xdr:cNvSpPr/>
        </xdr:nvSpPr>
        <xdr:spPr>
          <a:xfrm>
            <a:off x="11915775" y="2324101"/>
            <a:ext cx="981075" cy="40005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Failure Mode</a:t>
            </a:r>
          </a:p>
        </xdr:txBody>
      </xdr:sp>
    </xdr:grpSp>
    <xdr:clientData/>
  </xdr:twoCellAnchor>
  <xdr:twoCellAnchor>
    <xdr:from>
      <xdr:col>8</xdr:col>
      <xdr:colOff>308264</xdr:colOff>
      <xdr:row>25</xdr:row>
      <xdr:rowOff>88322</xdr:rowOff>
    </xdr:from>
    <xdr:to>
      <xdr:col>16</xdr:col>
      <xdr:colOff>663287</xdr:colOff>
      <xdr:row>42</xdr:row>
      <xdr:rowOff>65808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8A2BA81-3539-4167-85CA-8A5036EA591A}"/>
            </a:ext>
          </a:extLst>
        </xdr:cNvPr>
        <xdr:cNvGrpSpPr/>
      </xdr:nvGrpSpPr>
      <xdr:grpSpPr>
        <a:xfrm>
          <a:off x="6127173" y="6097731"/>
          <a:ext cx="6173932" cy="4393622"/>
          <a:chOff x="1746852" y="2657475"/>
          <a:chExt cx="4101498" cy="2362200"/>
        </a:xfrm>
      </xdr:grpSpPr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4CD3331-4566-41E0-B244-134258E6A48F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E767C099-613D-4504-9413-605FF9C7666B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697F4DA1-FEED-4A19-A32A-561F355C9FB3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9DA1ADE-8A3F-4646-862C-E9805C575CB3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DD9B1A19-0A58-4560-A52D-19CACB3D0E79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63C02DC5-C890-42EC-A9F0-09308EE72468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Machine</a:t>
            </a:r>
          </a:p>
        </xdr:txBody>
      </xdr:sp>
    </xdr:grpSp>
    <xdr:clientData/>
  </xdr:twoCellAnchor>
  <xdr:twoCellAnchor>
    <xdr:from>
      <xdr:col>0</xdr:col>
      <xdr:colOff>0</xdr:colOff>
      <xdr:row>25</xdr:row>
      <xdr:rowOff>50223</xdr:rowOff>
    </xdr:from>
    <xdr:to>
      <xdr:col>8</xdr:col>
      <xdr:colOff>355023</xdr:colOff>
      <xdr:row>42</xdr:row>
      <xdr:rowOff>27709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210F3DC-472A-4966-B619-AB7902B58CB2}"/>
            </a:ext>
          </a:extLst>
        </xdr:cNvPr>
        <xdr:cNvGrpSpPr/>
      </xdr:nvGrpSpPr>
      <xdr:grpSpPr>
        <a:xfrm>
          <a:off x="0" y="6059632"/>
          <a:ext cx="6173932" cy="4393622"/>
          <a:chOff x="1746852" y="2657475"/>
          <a:chExt cx="4101498" cy="2362200"/>
        </a:xfrm>
      </xdr:grpSpPr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2432B539-7EAC-4609-ADAD-9BCC429810DC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0BFF5347-CCFF-4408-878F-99730A692F25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34076547-0B70-465F-B4A0-5FFD88E0BFA9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95C71DE4-D5E3-411A-ADC1-7AC310654D05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40621DA1-8FDE-4D65-8A97-FEDBC71BC7A2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8BDA3C31-CF97-42D6-8F43-37E1EF794A9A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Manpower</a:t>
            </a:r>
          </a:p>
        </xdr:txBody>
      </xdr:sp>
    </xdr:grpSp>
    <xdr:clientData/>
  </xdr:twoCellAnchor>
  <xdr:twoCellAnchor>
    <xdr:from>
      <xdr:col>0</xdr:col>
      <xdr:colOff>207818</xdr:colOff>
      <xdr:row>5</xdr:row>
      <xdr:rowOff>135083</xdr:rowOff>
    </xdr:from>
    <xdr:to>
      <xdr:col>7</xdr:col>
      <xdr:colOff>565439</xdr:colOff>
      <xdr:row>25</xdr:row>
      <xdr:rowOff>42430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6891C11E-EB49-450C-97C8-7903066E356E}"/>
            </a:ext>
          </a:extLst>
        </xdr:cNvPr>
        <xdr:cNvGrpSpPr/>
      </xdr:nvGrpSpPr>
      <xdr:grpSpPr>
        <a:xfrm>
          <a:off x="207818" y="983674"/>
          <a:ext cx="5449166" cy="5068165"/>
          <a:chOff x="2370177" y="219075"/>
          <a:chExt cx="4011573" cy="2371725"/>
        </a:xfrm>
      </xdr:grpSpPr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56667ABD-732D-49E4-9BAA-508102F0BCCB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D68DAB2D-A580-444B-8DE8-764FE7B959FA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FC5A7A0E-A824-4516-8595-CBAF621C3E1F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8D6A74B9-0EE2-4218-BADD-6B5E434AA1FD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1E8F5250-7195-41FF-9C36-3AF44D85DE86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7C262C3E-C2E3-4628-9F19-EE1F46CF3DA3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Materials</a:t>
            </a:r>
          </a:p>
        </xdr:txBody>
      </xdr:sp>
    </xdr:grpSp>
    <xdr:clientData/>
  </xdr:twoCellAnchor>
  <xdr:twoCellAnchor>
    <xdr:from>
      <xdr:col>5</xdr:col>
      <xdr:colOff>304799</xdr:colOff>
      <xdr:row>6</xdr:row>
      <xdr:rowOff>10392</xdr:rowOff>
    </xdr:from>
    <xdr:to>
      <xdr:col>12</xdr:col>
      <xdr:colOff>662419</xdr:colOff>
      <xdr:row>25</xdr:row>
      <xdr:rowOff>73603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8C6E7D96-F989-4CA3-BE75-0B241E698740}"/>
            </a:ext>
          </a:extLst>
        </xdr:cNvPr>
        <xdr:cNvGrpSpPr/>
      </xdr:nvGrpSpPr>
      <xdr:grpSpPr>
        <a:xfrm>
          <a:off x="3941617" y="1014847"/>
          <a:ext cx="5449166" cy="5068165"/>
          <a:chOff x="2370177" y="219075"/>
          <a:chExt cx="4011573" cy="2371725"/>
        </a:xfrm>
      </xdr:grpSpPr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60B95994-0C27-452D-A7A0-59A0A3AA75C8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204B5317-1415-40A5-9A40-D7911114C3B2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7592751C-8B9E-4DCE-818F-B3F8D002AD3F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CE5E476F-3A91-47DE-A1E2-CE64DFE8ED2F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AD451765-1BC7-4DB9-A666-9393BD98F7D5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4A3D3E02-6A12-4181-8EE3-5BEBB8341F28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Methods</a:t>
            </a:r>
          </a:p>
        </xdr:txBody>
      </xdr:sp>
    </xdr:grpSp>
    <xdr:clientData/>
  </xdr:twoCellAnchor>
  <xdr:twoCellAnchor>
    <xdr:from>
      <xdr:col>0</xdr:col>
      <xdr:colOff>38100</xdr:colOff>
      <xdr:row>0</xdr:row>
      <xdr:rowOff>30480</xdr:rowOff>
    </xdr:from>
    <xdr:to>
      <xdr:col>1</xdr:col>
      <xdr:colOff>624839</xdr:colOff>
      <xdr:row>1</xdr:row>
      <xdr:rowOff>168598</xdr:rowOff>
    </xdr:to>
    <xdr:pic>
      <xdr:nvPicPr>
        <xdr:cNvPr id="48" name="Picture 14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38100" y="30480"/>
          <a:ext cx="134111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25</xdr:row>
      <xdr:rowOff>28575</xdr:rowOff>
    </xdr:from>
    <xdr:to>
      <xdr:col>18</xdr:col>
      <xdr:colOff>142875</xdr:colOff>
      <xdr:row>25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B5A7D99-B543-43BE-9D1B-C60EB721D081}"/>
            </a:ext>
          </a:extLst>
        </xdr:cNvPr>
        <xdr:cNvCxnSpPr/>
      </xdr:nvCxnSpPr>
      <xdr:spPr>
        <a:xfrm>
          <a:off x="209550" y="5495925"/>
          <a:ext cx="13134975" cy="0"/>
        </a:xfrm>
        <a:prstGeom prst="straightConnector1">
          <a:avLst/>
        </a:prstGeom>
        <a:ln w="47625" cmpd="sng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17318</xdr:colOff>
      <xdr:row>25</xdr:row>
      <xdr:rowOff>22513</xdr:rowOff>
    </xdr:from>
    <xdr:to>
      <xdr:col>12</xdr:col>
      <xdr:colOff>372341</xdr:colOff>
      <xdr:row>41</xdr:row>
      <xdr:rowOff>257174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8F2A42-B176-4DB0-A459-BC73AC9CCFA7}"/>
            </a:ext>
          </a:extLst>
        </xdr:cNvPr>
        <xdr:cNvGrpSpPr/>
      </xdr:nvGrpSpPr>
      <xdr:grpSpPr>
        <a:xfrm>
          <a:off x="2926773" y="6031922"/>
          <a:ext cx="6173932" cy="4391025"/>
          <a:chOff x="1746852" y="2657475"/>
          <a:chExt cx="4101498" cy="2362200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489EEBA8-67A4-44DC-8C59-2B8125455905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B6AC6EF7-AAEF-443C-98F2-EC6A036A724C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6569CDB-A295-42BC-90B4-E8D62D56FF14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E5782C2-1DC1-4443-B394-A63E3A8B01A4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043A647-E019-40F7-8620-F30C1B03E704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C1A9F9C1-2BE0-4D4F-ABFB-5CAB43562C63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Measurement</a:t>
            </a:r>
          </a:p>
        </xdr:txBody>
      </xdr:sp>
    </xdr:grpSp>
    <xdr:clientData/>
  </xdr:twoCellAnchor>
  <xdr:twoCellAnchor>
    <xdr:from>
      <xdr:col>10</xdr:col>
      <xdr:colOff>190500</xdr:colOff>
      <xdr:row>5</xdr:row>
      <xdr:rowOff>121228</xdr:rowOff>
    </xdr:from>
    <xdr:to>
      <xdr:col>17</xdr:col>
      <xdr:colOff>548120</xdr:colOff>
      <xdr:row>25</xdr:row>
      <xdr:rowOff>28575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A145A80-7D51-4FFA-AE1C-9FA8A288EE1F}"/>
            </a:ext>
          </a:extLst>
        </xdr:cNvPr>
        <xdr:cNvGrpSpPr/>
      </xdr:nvGrpSpPr>
      <xdr:grpSpPr>
        <a:xfrm>
          <a:off x="7464136" y="969819"/>
          <a:ext cx="5449166" cy="5068165"/>
          <a:chOff x="2370177" y="219075"/>
          <a:chExt cx="4011573" cy="2371725"/>
        </a:xfrm>
      </xdr:grpSpPr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1C0B9B23-44CF-4C51-A052-9F16B7F380D1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640BE499-B3D0-4094-AE67-758778123153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A3E83AF4-9ABC-4D90-9043-FF10CF63FFF6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E9B5A675-D88B-4DFA-86DB-9D6741E95BE4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BD933575-4970-4B24-BEAC-52EDF74DF9F4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9E4D48D-A53C-4B86-8D9F-8FC511BD955F}"/>
              </a:ext>
            </a:extLst>
          </xdr:cNvPr>
          <xdr:cNvSpPr/>
        </xdr:nvSpPr>
        <xdr:spPr>
          <a:xfrm>
            <a:off x="3067050" y="219075"/>
            <a:ext cx="1177277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Mother Nature</a:t>
            </a:r>
          </a:p>
        </xdr:txBody>
      </xdr:sp>
    </xdr:grpSp>
    <xdr:clientData/>
  </xdr:twoCellAnchor>
  <xdr:twoCellAnchor>
    <xdr:from>
      <xdr:col>18</xdr:col>
      <xdr:colOff>85724</xdr:colOff>
      <xdr:row>18</xdr:row>
      <xdr:rowOff>38100</xdr:rowOff>
    </xdr:from>
    <xdr:to>
      <xdr:col>21</xdr:col>
      <xdr:colOff>552449</xdr:colOff>
      <xdr:row>31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65A23FB-C296-4C2B-BF88-3ED76922E899}"/>
            </a:ext>
          </a:extLst>
        </xdr:cNvPr>
        <xdr:cNvGrpSpPr/>
      </xdr:nvGrpSpPr>
      <xdr:grpSpPr>
        <a:xfrm>
          <a:off x="13178269" y="4229100"/>
          <a:ext cx="2285135" cy="3481820"/>
          <a:chOff x="11801474" y="1428750"/>
          <a:chExt cx="2295525" cy="2209800"/>
        </a:xfrm>
      </xdr:grpSpPr>
      <xdr:pic>
        <xdr:nvPicPr>
          <xdr:cNvPr id="18" name="Picture 17" descr="Fish Bone Diagram">
            <a:extLst>
              <a:ext uri="{FF2B5EF4-FFF2-40B4-BE49-F238E27FC236}">
                <a16:creationId xmlns:a16="http://schemas.microsoft.com/office/drawing/2014/main" id="{CC84B8EF-68A5-42BA-BEE2-13FF730DBE6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462" r="69500" b="12178"/>
          <a:stretch/>
        </xdr:blipFill>
        <xdr:spPr bwMode="auto">
          <a:xfrm flipH="1">
            <a:off x="11801474" y="1428750"/>
            <a:ext cx="2295525" cy="2209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D427C215-912B-4891-A526-7D2FA446640E}"/>
              </a:ext>
            </a:extLst>
          </xdr:cNvPr>
          <xdr:cNvSpPr/>
        </xdr:nvSpPr>
        <xdr:spPr>
          <a:xfrm>
            <a:off x="11915775" y="2324101"/>
            <a:ext cx="981075" cy="40005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Failure Mode</a:t>
            </a:r>
          </a:p>
        </xdr:txBody>
      </xdr:sp>
    </xdr:grpSp>
    <xdr:clientData/>
  </xdr:twoCellAnchor>
  <xdr:twoCellAnchor>
    <xdr:from>
      <xdr:col>8</xdr:col>
      <xdr:colOff>308264</xdr:colOff>
      <xdr:row>25</xdr:row>
      <xdr:rowOff>88322</xdr:rowOff>
    </xdr:from>
    <xdr:to>
      <xdr:col>16</xdr:col>
      <xdr:colOff>663287</xdr:colOff>
      <xdr:row>42</xdr:row>
      <xdr:rowOff>65808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4C4A8BE-5BD3-4FF8-AC45-BFD60AC68CDD}"/>
            </a:ext>
          </a:extLst>
        </xdr:cNvPr>
        <xdr:cNvGrpSpPr/>
      </xdr:nvGrpSpPr>
      <xdr:grpSpPr>
        <a:xfrm>
          <a:off x="6127173" y="6097731"/>
          <a:ext cx="6173932" cy="4393622"/>
          <a:chOff x="1746852" y="2657475"/>
          <a:chExt cx="4101498" cy="2362200"/>
        </a:xfrm>
      </xdr:grpSpPr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DD413BF8-7BF1-4BBB-817D-604E3BE35085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9A635463-A396-4BA2-88A4-087C5D475A6F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AB6FCA9D-CCAD-4473-B8EC-9D5527B2E20A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312258CF-3308-4E5D-8127-9AD8E7DD0BF1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AE6C4C68-2F41-4496-9827-4AE4C0262F0D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5EB74D89-425D-4CD1-A64F-4049AEDFE9A3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Machine</a:t>
            </a:r>
          </a:p>
        </xdr:txBody>
      </xdr:sp>
    </xdr:grpSp>
    <xdr:clientData/>
  </xdr:twoCellAnchor>
  <xdr:twoCellAnchor>
    <xdr:from>
      <xdr:col>0</xdr:col>
      <xdr:colOff>0</xdr:colOff>
      <xdr:row>25</xdr:row>
      <xdr:rowOff>50223</xdr:rowOff>
    </xdr:from>
    <xdr:to>
      <xdr:col>8</xdr:col>
      <xdr:colOff>355023</xdr:colOff>
      <xdr:row>42</xdr:row>
      <xdr:rowOff>27709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75C9D5E-E8D8-4EF8-AA97-AC782B2F9758}"/>
            </a:ext>
          </a:extLst>
        </xdr:cNvPr>
        <xdr:cNvGrpSpPr/>
      </xdr:nvGrpSpPr>
      <xdr:grpSpPr>
        <a:xfrm>
          <a:off x="0" y="6059632"/>
          <a:ext cx="6173932" cy="4393622"/>
          <a:chOff x="1746852" y="2657475"/>
          <a:chExt cx="4101498" cy="2362200"/>
        </a:xfrm>
      </xdr:grpSpPr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411A23F2-A9B6-47A0-A62F-795EB67F10E1}"/>
              </a:ext>
            </a:extLst>
          </xdr:cNvPr>
          <xdr:cNvCxnSpPr/>
        </xdr:nvCxnSpPr>
        <xdr:spPr>
          <a:xfrm flipH="1">
            <a:off x="2628900" y="2657475"/>
            <a:ext cx="3219450" cy="216480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4B55F83A-88CF-4FA2-ABDB-796031B8BC9E}"/>
              </a:ext>
            </a:extLst>
          </xdr:cNvPr>
          <xdr:cNvCxnSpPr/>
        </xdr:nvCxnSpPr>
        <xdr:spPr>
          <a:xfrm flipH="1">
            <a:off x="3801295" y="3162301"/>
            <a:ext cx="1294581" cy="707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31773FF3-F171-48D1-BDF3-EE396DD92027}"/>
              </a:ext>
            </a:extLst>
          </xdr:cNvPr>
          <xdr:cNvCxnSpPr/>
        </xdr:nvCxnSpPr>
        <xdr:spPr>
          <a:xfrm flipH="1" flipV="1">
            <a:off x="3017947" y="3640720"/>
            <a:ext cx="1277830" cy="735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3E53096-B3B2-46A3-9C85-2CD236A47C40}"/>
              </a:ext>
            </a:extLst>
          </xdr:cNvPr>
          <xdr:cNvCxnSpPr/>
        </xdr:nvCxnSpPr>
        <xdr:spPr>
          <a:xfrm flipH="1">
            <a:off x="2367619" y="4124326"/>
            <a:ext cx="1251882" cy="966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6D8609AB-02CF-4AD4-8405-3BDA2056B4D9}"/>
              </a:ext>
            </a:extLst>
          </xdr:cNvPr>
          <xdr:cNvCxnSpPr/>
        </xdr:nvCxnSpPr>
        <xdr:spPr>
          <a:xfrm flipH="1" flipV="1">
            <a:off x="1746852" y="4495716"/>
            <a:ext cx="1282099" cy="961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EA06E8A-4153-4757-B967-F102C4CC1A5F}"/>
              </a:ext>
            </a:extLst>
          </xdr:cNvPr>
          <xdr:cNvSpPr/>
        </xdr:nvSpPr>
        <xdr:spPr>
          <a:xfrm>
            <a:off x="2124075" y="4762500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Manpower</a:t>
            </a:r>
          </a:p>
        </xdr:txBody>
      </xdr:sp>
    </xdr:grpSp>
    <xdr:clientData/>
  </xdr:twoCellAnchor>
  <xdr:twoCellAnchor>
    <xdr:from>
      <xdr:col>0</xdr:col>
      <xdr:colOff>207818</xdr:colOff>
      <xdr:row>5</xdr:row>
      <xdr:rowOff>135083</xdr:rowOff>
    </xdr:from>
    <xdr:to>
      <xdr:col>7</xdr:col>
      <xdr:colOff>565439</xdr:colOff>
      <xdr:row>25</xdr:row>
      <xdr:rowOff>42430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BC98F79-A288-42F5-8925-5A6C68120FE3}"/>
            </a:ext>
          </a:extLst>
        </xdr:cNvPr>
        <xdr:cNvGrpSpPr/>
      </xdr:nvGrpSpPr>
      <xdr:grpSpPr>
        <a:xfrm>
          <a:off x="207818" y="983674"/>
          <a:ext cx="5449166" cy="5068165"/>
          <a:chOff x="2370177" y="219075"/>
          <a:chExt cx="4011573" cy="2371725"/>
        </a:xfrm>
      </xdr:grpSpPr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B5AD9137-D8A1-4785-941D-2A3189730282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D0918959-7F2F-4DA7-9694-B0CCE2520ADC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3B20949A-60F5-45E7-ABCE-B1440C9C4282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2C5D7A5C-31BA-4CF8-A165-F061C6EA9B61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D2F4DEE7-71A1-426F-A7A2-9BA1F39906FD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5450DF3E-8CC1-47AC-88D1-F63CCE88BDCF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Materials</a:t>
            </a:r>
          </a:p>
        </xdr:txBody>
      </xdr:sp>
    </xdr:grpSp>
    <xdr:clientData/>
  </xdr:twoCellAnchor>
  <xdr:twoCellAnchor>
    <xdr:from>
      <xdr:col>5</xdr:col>
      <xdr:colOff>304799</xdr:colOff>
      <xdr:row>6</xdr:row>
      <xdr:rowOff>10392</xdr:rowOff>
    </xdr:from>
    <xdr:to>
      <xdr:col>12</xdr:col>
      <xdr:colOff>662419</xdr:colOff>
      <xdr:row>25</xdr:row>
      <xdr:rowOff>73603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D50A5109-8781-4A88-B30B-809C357E29EF}"/>
            </a:ext>
          </a:extLst>
        </xdr:cNvPr>
        <xdr:cNvGrpSpPr/>
      </xdr:nvGrpSpPr>
      <xdr:grpSpPr>
        <a:xfrm>
          <a:off x="3941617" y="1014847"/>
          <a:ext cx="5449166" cy="5068165"/>
          <a:chOff x="2370177" y="219075"/>
          <a:chExt cx="4011573" cy="2371725"/>
        </a:xfrm>
      </xdr:grpSpPr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A9576D7E-33BB-4F9F-9922-7844C3FAA510}"/>
              </a:ext>
            </a:extLst>
          </xdr:cNvPr>
          <xdr:cNvCxnSpPr/>
        </xdr:nvCxnSpPr>
        <xdr:spPr>
          <a:xfrm flipH="1" flipV="1">
            <a:off x="3619500" y="501703"/>
            <a:ext cx="2762250" cy="208909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737352DC-920E-4619-95E0-561249398428}"/>
              </a:ext>
            </a:extLst>
          </xdr:cNvPr>
          <xdr:cNvCxnSpPr/>
        </xdr:nvCxnSpPr>
        <xdr:spPr>
          <a:xfrm flipH="1" flipV="1">
            <a:off x="3032274" y="1056526"/>
            <a:ext cx="1330178" cy="7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DB8CB519-51F2-4399-A8CF-E553A82F38A8}"/>
              </a:ext>
            </a:extLst>
          </xdr:cNvPr>
          <xdr:cNvCxnSpPr/>
        </xdr:nvCxnSpPr>
        <xdr:spPr>
          <a:xfrm flipH="1" flipV="1">
            <a:off x="3679658" y="1523670"/>
            <a:ext cx="1273344" cy="33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7ACBED7-1F69-4D91-9A54-1170E5DC93A7}"/>
              </a:ext>
            </a:extLst>
          </xdr:cNvPr>
          <xdr:cNvCxnSpPr/>
        </xdr:nvCxnSpPr>
        <xdr:spPr>
          <a:xfrm flipH="1">
            <a:off x="4356468" y="2066926"/>
            <a:ext cx="1291860" cy="17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2FBAF309-A200-4812-BC2C-2B99914C3F88}"/>
              </a:ext>
            </a:extLst>
          </xdr:cNvPr>
          <xdr:cNvCxnSpPr/>
        </xdr:nvCxnSpPr>
        <xdr:spPr>
          <a:xfrm flipH="1" flipV="1">
            <a:off x="2370177" y="560187"/>
            <a:ext cx="1316000" cy="1131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88BC2694-7D2F-4F9D-BF9B-5D7E684E0EFA}"/>
              </a:ext>
            </a:extLst>
          </xdr:cNvPr>
          <xdr:cNvSpPr/>
        </xdr:nvSpPr>
        <xdr:spPr>
          <a:xfrm>
            <a:off x="3067050" y="219075"/>
            <a:ext cx="1066800" cy="257175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ysClr val="windowText" lastClr="000000"/>
                </a:solidFill>
              </a:rPr>
              <a:t>Methods</a:t>
            </a:r>
          </a:p>
        </xdr:txBody>
      </xdr:sp>
    </xdr:grpSp>
    <xdr:clientData/>
  </xdr:twoCellAnchor>
  <xdr:twoCellAnchor>
    <xdr:from>
      <xdr:col>0</xdr:col>
      <xdr:colOff>38100</xdr:colOff>
      <xdr:row>0</xdr:row>
      <xdr:rowOff>30480</xdr:rowOff>
    </xdr:from>
    <xdr:to>
      <xdr:col>1</xdr:col>
      <xdr:colOff>624839</xdr:colOff>
      <xdr:row>1</xdr:row>
      <xdr:rowOff>168598</xdr:rowOff>
    </xdr:to>
    <xdr:pic>
      <xdr:nvPicPr>
        <xdr:cNvPr id="49" name="Picture 14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38100" y="3048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1196339</xdr:colOff>
      <xdr:row>0</xdr:row>
      <xdr:rowOff>359098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571499</xdr:colOff>
      <xdr:row>2</xdr:row>
      <xdr:rowOff>16198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32" b="35649"/>
        <a:stretch>
          <a:fillRect/>
        </a:stretch>
      </xdr:blipFill>
      <xdr:spPr bwMode="auto">
        <a:xfrm>
          <a:off x="0" y="0"/>
          <a:ext cx="1196339" cy="351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pageSetUpPr fitToPage="1"/>
  </sheetPr>
  <dimension ref="A1:I20"/>
  <sheetViews>
    <sheetView workbookViewId="0">
      <pane ySplit="6" topLeftCell="A7" activePane="bottomLeft" state="frozen"/>
      <selection pane="bottomLeft" activeCell="I3" sqref="I3"/>
    </sheetView>
  </sheetViews>
  <sheetFormatPr defaultRowHeight="12.75"/>
  <cols>
    <col min="1" max="1" width="12.7109375" style="7" customWidth="1"/>
    <col min="2" max="2" width="41.28515625" style="8" customWidth="1"/>
    <col min="3" max="5" width="5.140625" customWidth="1"/>
    <col min="6" max="6" width="36.5703125" style="9" customWidth="1"/>
    <col min="7" max="7" width="17" customWidth="1"/>
    <col min="8" max="8" width="14" customWidth="1"/>
  </cols>
  <sheetData>
    <row r="1" spans="1:9" ht="33.75" customHeight="1">
      <c r="A1" s="131"/>
      <c r="B1" s="132"/>
      <c r="C1" s="99" t="s">
        <v>68</v>
      </c>
      <c r="D1" s="99"/>
      <c r="E1" s="99"/>
      <c r="F1" s="99"/>
      <c r="G1" s="99"/>
      <c r="H1" s="126" t="s">
        <v>69</v>
      </c>
      <c r="I1" s="127"/>
    </row>
    <row r="2" spans="1:9" ht="12.75" customHeight="1">
      <c r="A2" s="133"/>
      <c r="B2" s="134"/>
      <c r="C2" s="99"/>
      <c r="D2" s="99"/>
      <c r="E2" s="99"/>
      <c r="F2" s="99"/>
      <c r="G2" s="99"/>
      <c r="H2" s="28" t="s">
        <v>64</v>
      </c>
      <c r="I2" s="31">
        <v>42836</v>
      </c>
    </row>
    <row r="3" spans="1:9" ht="13.5" customHeight="1">
      <c r="A3" s="133"/>
      <c r="B3" s="134"/>
      <c r="C3" s="99"/>
      <c r="D3" s="99"/>
      <c r="E3" s="99"/>
      <c r="F3" s="99"/>
      <c r="G3" s="99"/>
      <c r="H3" s="28" t="s">
        <v>63</v>
      </c>
      <c r="I3" s="27">
        <v>3</v>
      </c>
    </row>
    <row r="4" spans="1:9" ht="13.9" customHeight="1" thickBot="1">
      <c r="A4" s="135"/>
      <c r="B4" s="136"/>
      <c r="C4" s="99"/>
      <c r="D4" s="99"/>
      <c r="E4" s="99"/>
      <c r="F4" s="99"/>
      <c r="G4" s="99"/>
      <c r="H4" s="26" t="s">
        <v>155</v>
      </c>
      <c r="I4" s="25" t="s">
        <v>157</v>
      </c>
    </row>
    <row r="5" spans="1:9" ht="22.15" customHeight="1" thickTop="1">
      <c r="H5" s="10"/>
    </row>
    <row r="6" spans="1:9" ht="13.9" customHeight="1">
      <c r="A6" s="57" t="s">
        <v>15</v>
      </c>
      <c r="B6" s="11"/>
      <c r="C6" s="12" t="s">
        <v>16</v>
      </c>
      <c r="D6" s="12" t="s">
        <v>17</v>
      </c>
      <c r="E6" s="12" t="s">
        <v>18</v>
      </c>
      <c r="F6" s="137" t="s">
        <v>19</v>
      </c>
      <c r="G6" s="137"/>
      <c r="H6" s="13" t="s">
        <v>20</v>
      </c>
      <c r="I6" s="13" t="s">
        <v>21</v>
      </c>
    </row>
    <row r="7" spans="1:9" ht="63.75">
      <c r="A7" s="14">
        <v>1</v>
      </c>
      <c r="B7" s="15" t="s">
        <v>22</v>
      </c>
      <c r="C7" s="16"/>
      <c r="D7" s="16"/>
      <c r="E7" s="16"/>
      <c r="F7" s="128"/>
      <c r="G7" s="129"/>
      <c r="H7" s="16"/>
      <c r="I7" s="17"/>
    </row>
    <row r="8" spans="1:9" ht="38.25">
      <c r="A8" s="14">
        <v>2</v>
      </c>
      <c r="B8" s="15" t="s">
        <v>23</v>
      </c>
      <c r="C8" s="16"/>
      <c r="D8" s="16"/>
      <c r="E8" s="16"/>
      <c r="F8" s="128"/>
      <c r="G8" s="129"/>
      <c r="H8" s="16"/>
      <c r="I8" s="17"/>
    </row>
    <row r="9" spans="1:9" ht="51">
      <c r="A9" s="14">
        <v>3</v>
      </c>
      <c r="B9" s="15" t="s">
        <v>24</v>
      </c>
      <c r="C9" s="16"/>
      <c r="D9" s="16"/>
      <c r="E9" s="16"/>
      <c r="F9" s="128"/>
      <c r="G9" s="129"/>
      <c r="H9" s="16"/>
      <c r="I9" s="16"/>
    </row>
    <row r="10" spans="1:9" ht="14.45" customHeight="1">
      <c r="A10" s="14">
        <v>4</v>
      </c>
      <c r="B10" s="15" t="s">
        <v>25</v>
      </c>
      <c r="C10" s="16"/>
      <c r="D10" s="16"/>
      <c r="E10" s="16"/>
      <c r="F10" s="128"/>
      <c r="G10" s="129"/>
      <c r="H10" s="16"/>
      <c r="I10" s="16"/>
    </row>
    <row r="11" spans="1:9" ht="25.5">
      <c r="A11" s="14">
        <f t="shared" ref="A11:A17" si="0">A10+1</f>
        <v>5</v>
      </c>
      <c r="B11" s="15" t="s">
        <v>26</v>
      </c>
      <c r="C11" s="16"/>
      <c r="D11" s="16"/>
      <c r="E11" s="16"/>
      <c r="F11" s="128"/>
      <c r="G11" s="129"/>
      <c r="H11" s="16"/>
      <c r="I11" s="16"/>
    </row>
    <row r="12" spans="1:9" ht="25.5">
      <c r="A12" s="14">
        <f t="shared" si="0"/>
        <v>6</v>
      </c>
      <c r="B12" s="15" t="s">
        <v>27</v>
      </c>
      <c r="C12" s="16"/>
      <c r="D12" s="16"/>
      <c r="E12" s="16"/>
      <c r="F12" s="128"/>
      <c r="G12" s="129"/>
      <c r="H12" s="16"/>
      <c r="I12" s="16"/>
    </row>
    <row r="13" spans="1:9" ht="25.5">
      <c r="A13" s="14">
        <f t="shared" si="0"/>
        <v>7</v>
      </c>
      <c r="B13" s="15" t="s">
        <v>28</v>
      </c>
      <c r="C13" s="16"/>
      <c r="D13" s="16"/>
      <c r="E13" s="16"/>
      <c r="F13" s="128"/>
      <c r="G13" s="129"/>
      <c r="H13" s="16"/>
      <c r="I13" s="16"/>
    </row>
    <row r="14" spans="1:9" ht="38.25">
      <c r="A14" s="14">
        <f t="shared" si="0"/>
        <v>8</v>
      </c>
      <c r="B14" s="15" t="s">
        <v>29</v>
      </c>
      <c r="C14" s="16"/>
      <c r="D14" s="16"/>
      <c r="E14" s="16"/>
      <c r="F14" s="128"/>
      <c r="G14" s="129"/>
      <c r="H14" s="16"/>
      <c r="I14" s="16"/>
    </row>
    <row r="15" spans="1:9" ht="25.5">
      <c r="A15" s="14">
        <v>9</v>
      </c>
      <c r="B15" s="15" t="s">
        <v>30</v>
      </c>
      <c r="C15" s="16"/>
      <c r="D15" s="16"/>
      <c r="E15" s="16"/>
      <c r="F15" s="128"/>
      <c r="G15" s="129"/>
      <c r="H15" s="16"/>
      <c r="I15" s="16"/>
    </row>
    <row r="16" spans="1:9" ht="25.5">
      <c r="A16" s="14">
        <v>10</v>
      </c>
      <c r="B16" s="15" t="s">
        <v>31</v>
      </c>
      <c r="C16" s="16"/>
      <c r="D16" s="16"/>
      <c r="E16" s="16"/>
      <c r="F16" s="128"/>
      <c r="G16" s="129"/>
      <c r="H16" s="16"/>
      <c r="I16" s="16"/>
    </row>
    <row r="17" spans="1:9" ht="38.25">
      <c r="A17" s="14">
        <f t="shared" si="0"/>
        <v>11</v>
      </c>
      <c r="B17" s="15" t="s">
        <v>32</v>
      </c>
      <c r="C17" s="16"/>
      <c r="D17" s="16"/>
      <c r="E17" s="16"/>
      <c r="F17" s="130"/>
      <c r="G17" s="130"/>
      <c r="H17" s="16"/>
      <c r="I17" s="16"/>
    </row>
    <row r="19" spans="1:9" ht="25.5">
      <c r="A19" s="34" t="s">
        <v>67</v>
      </c>
      <c r="B19" s="15"/>
      <c r="F19" s="18"/>
    </row>
    <row r="20" spans="1:9">
      <c r="A20" s="33" t="s">
        <v>33</v>
      </c>
      <c r="B20" s="15"/>
      <c r="F20" s="18"/>
    </row>
  </sheetData>
  <mergeCells count="15">
    <mergeCell ref="H1:I1"/>
    <mergeCell ref="F16:G16"/>
    <mergeCell ref="F17:G17"/>
    <mergeCell ref="A1:B4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C1:G4"/>
  </mergeCells>
  <printOptions horizontalCentered="1"/>
  <pageMargins left="0.75" right="0.75" top="0.5" bottom="0.75" header="0.5" footer="0.5"/>
  <pageSetup scale="84" orientation="landscape" horizontalDpi="300" r:id="rId1"/>
  <headerFooter alignWithMargins="0">
    <oddFooter>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Z54"/>
  <sheetViews>
    <sheetView tabSelected="1" workbookViewId="0">
      <pane ySplit="20" topLeftCell="A21" activePane="bottomLeft" state="frozen"/>
      <selection pane="bottomLeft" activeCell="G25" sqref="G25"/>
    </sheetView>
  </sheetViews>
  <sheetFormatPr defaultRowHeight="12.75"/>
  <cols>
    <col min="2" max="2" width="10.7109375" customWidth="1"/>
    <col min="3" max="4" width="15" customWidth="1"/>
    <col min="5" max="5" width="3.140625" style="2" customWidth="1"/>
    <col min="6" max="6" width="4" style="2" customWidth="1"/>
    <col min="7" max="7" width="17.5703125" customWidth="1"/>
    <col min="8" max="8" width="19.5703125" style="2" bestFit="1" customWidth="1"/>
    <col min="9" max="9" width="13.42578125" customWidth="1"/>
    <col min="10" max="10" width="13.28515625" customWidth="1"/>
    <col min="11" max="11" width="3.28515625" style="2" customWidth="1"/>
    <col min="12" max="12" width="4.140625" style="2" customWidth="1"/>
    <col min="13" max="13" width="12.42578125" customWidth="1"/>
    <col min="14" max="14" width="10.5703125" customWidth="1"/>
    <col min="15" max="15" width="12.42578125" customWidth="1"/>
    <col min="16" max="18" width="3.42578125" style="2" customWidth="1"/>
    <col min="19" max="19" width="8.42578125" style="2" customWidth="1"/>
  </cols>
  <sheetData>
    <row r="1" spans="1:26" ht="17.45" customHeight="1">
      <c r="A1" s="104"/>
      <c r="B1" s="105"/>
      <c r="C1" s="99" t="s">
        <v>68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6" t="s">
        <v>69</v>
      </c>
      <c r="P1" s="97"/>
      <c r="Q1" s="97"/>
      <c r="R1" s="97"/>
      <c r="S1" s="98"/>
      <c r="T1" s="35"/>
      <c r="U1" s="35"/>
      <c r="V1" s="35"/>
      <c r="W1" s="35"/>
      <c r="X1" s="35"/>
      <c r="Y1" s="35"/>
      <c r="Z1" s="35"/>
    </row>
    <row r="2" spans="1:26">
      <c r="A2" s="32"/>
      <c r="B2" s="2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64"/>
      <c r="P2" s="59"/>
      <c r="Q2" s="59"/>
      <c r="R2" s="63" t="s">
        <v>64</v>
      </c>
      <c r="S2" s="31">
        <v>42836</v>
      </c>
      <c r="T2" s="35"/>
      <c r="U2" s="35"/>
      <c r="V2" s="35"/>
      <c r="W2" s="35"/>
      <c r="X2" s="35"/>
      <c r="Y2" s="35"/>
      <c r="Z2" s="35"/>
    </row>
    <row r="3" spans="1:26">
      <c r="A3" s="30"/>
      <c r="B3" s="2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64"/>
      <c r="P3" s="59"/>
      <c r="Q3" s="59"/>
      <c r="R3" s="63" t="s">
        <v>63</v>
      </c>
      <c r="S3" s="27">
        <v>3</v>
      </c>
      <c r="T3" s="35"/>
      <c r="U3" s="35"/>
      <c r="V3" s="35"/>
      <c r="W3" s="35"/>
      <c r="X3" s="35"/>
      <c r="Y3" s="35"/>
      <c r="Z3" s="35"/>
    </row>
    <row r="4" spans="1:26">
      <c r="A4" s="88"/>
      <c r="B4" s="8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65"/>
      <c r="P4" s="66"/>
      <c r="Q4" s="66"/>
      <c r="R4" s="67" t="s">
        <v>155</v>
      </c>
      <c r="S4" s="68" t="s">
        <v>158</v>
      </c>
      <c r="T4" s="35"/>
      <c r="U4" s="35"/>
      <c r="V4" s="35"/>
      <c r="W4" s="35"/>
      <c r="X4" s="35"/>
      <c r="Y4" s="35"/>
      <c r="Z4" s="35"/>
    </row>
    <row r="5" spans="1:26">
      <c r="T5" s="35"/>
      <c r="U5" s="35"/>
      <c r="V5" s="35"/>
      <c r="W5" s="35"/>
      <c r="X5" s="35"/>
      <c r="Y5" s="35"/>
      <c r="Z5" s="35"/>
    </row>
    <row r="6" spans="1:26" ht="19.5" customHeight="1">
      <c r="E6"/>
      <c r="N6" s="1" t="s">
        <v>0</v>
      </c>
      <c r="O6" s="101"/>
      <c r="P6" s="101"/>
      <c r="Q6" s="101"/>
      <c r="R6" s="101"/>
      <c r="S6" s="101"/>
      <c r="T6" s="35"/>
      <c r="U6" s="35"/>
      <c r="V6" s="35"/>
      <c r="W6" s="35"/>
      <c r="X6" s="35"/>
      <c r="Y6" s="35"/>
      <c r="Z6" s="35"/>
    </row>
    <row r="7" spans="1:26" ht="7.5" customHeight="1">
      <c r="E7"/>
      <c r="P7"/>
      <c r="Q7"/>
      <c r="T7" s="35"/>
      <c r="U7" s="35"/>
      <c r="V7" s="35"/>
      <c r="W7" s="35"/>
      <c r="X7" s="35"/>
      <c r="Y7" s="35"/>
      <c r="Z7" s="35"/>
    </row>
    <row r="8" spans="1:26">
      <c r="E8"/>
      <c r="N8" s="1" t="s">
        <v>1</v>
      </c>
      <c r="O8" s="102"/>
      <c r="P8" s="102"/>
      <c r="Q8" s="102"/>
      <c r="R8" s="102"/>
      <c r="S8" s="102"/>
      <c r="T8" s="2"/>
    </row>
    <row r="9" spans="1:26" ht="6.75" customHeight="1">
      <c r="E9"/>
      <c r="P9"/>
      <c r="Q9"/>
      <c r="T9" s="2"/>
    </row>
    <row r="10" spans="1:26">
      <c r="B10" s="100" t="s">
        <v>36</v>
      </c>
      <c r="C10" s="100"/>
      <c r="D10" s="4"/>
      <c r="E10" s="4"/>
      <c r="F10" s="4"/>
      <c r="G10" s="2"/>
      <c r="H10" s="1" t="s">
        <v>2</v>
      </c>
      <c r="I10" s="101" t="s">
        <v>38</v>
      </c>
      <c r="J10" s="101"/>
      <c r="K10" s="101"/>
      <c r="L10" s="101"/>
      <c r="N10" s="1" t="s">
        <v>3</v>
      </c>
      <c r="O10" s="103"/>
      <c r="P10" s="103"/>
      <c r="Q10" s="103"/>
      <c r="R10" s="103"/>
      <c r="S10" s="103"/>
      <c r="T10" s="2"/>
    </row>
    <row r="11" spans="1:26" ht="6.75" customHeight="1">
      <c r="E11"/>
      <c r="G11" s="2"/>
      <c r="H11"/>
      <c r="I11" s="3"/>
      <c r="J11" s="3"/>
      <c r="K11" s="3"/>
      <c r="L11" s="3"/>
      <c r="N11" s="1"/>
      <c r="P11"/>
      <c r="Q11"/>
      <c r="T11" s="2"/>
    </row>
    <row r="12" spans="1:26">
      <c r="B12" t="s">
        <v>39</v>
      </c>
      <c r="D12" s="101" t="s">
        <v>37</v>
      </c>
      <c r="E12" s="101"/>
      <c r="F12" s="101"/>
      <c r="G12" s="2"/>
      <c r="H12" s="1" t="s">
        <v>45</v>
      </c>
      <c r="I12" s="103"/>
      <c r="J12" s="103"/>
      <c r="K12" s="103"/>
      <c r="L12" s="103"/>
      <c r="N12" s="1" t="s">
        <v>4</v>
      </c>
      <c r="O12" s="103"/>
      <c r="P12" s="103"/>
      <c r="Q12" s="103"/>
      <c r="R12" s="103"/>
      <c r="S12" s="103"/>
      <c r="T12" s="2"/>
    </row>
    <row r="13" spans="1:26" ht="6.75" customHeight="1">
      <c r="E13"/>
      <c r="G13" s="2"/>
      <c r="H13"/>
      <c r="I13" s="2"/>
      <c r="P13"/>
      <c r="T13" s="2"/>
    </row>
    <row r="14" spans="1:26">
      <c r="B14" t="s">
        <v>5</v>
      </c>
      <c r="C14" s="4"/>
      <c r="D14" s="4"/>
      <c r="E14" s="4"/>
      <c r="F14" s="5"/>
      <c r="G14" s="5"/>
      <c r="H14" s="4"/>
      <c r="I14" s="5"/>
      <c r="J14" s="4"/>
      <c r="K14" s="5"/>
      <c r="L14" s="5"/>
      <c r="M14" s="4"/>
      <c r="N14" s="4"/>
      <c r="O14" s="4"/>
      <c r="P14" s="4"/>
      <c r="Q14" s="5"/>
      <c r="R14" s="5"/>
      <c r="S14" s="5"/>
      <c r="T14" s="2"/>
    </row>
    <row r="15" spans="1:26" ht="8.25" customHeight="1"/>
    <row r="16" spans="1:26" s="6" customFormat="1" ht="12" customHeight="1">
      <c r="A16" s="106" t="s">
        <v>40</v>
      </c>
      <c r="B16" s="108" t="s">
        <v>41</v>
      </c>
      <c r="C16" s="108" t="s">
        <v>6</v>
      </c>
      <c r="D16" s="108" t="s">
        <v>7</v>
      </c>
      <c r="E16" s="124" t="s">
        <v>8</v>
      </c>
      <c r="F16" s="119" t="s">
        <v>9</v>
      </c>
      <c r="G16" s="108" t="s">
        <v>10</v>
      </c>
      <c r="H16" s="119" t="s">
        <v>11</v>
      </c>
      <c r="I16" s="110" t="s">
        <v>42</v>
      </c>
      <c r="J16" s="111"/>
      <c r="K16" s="119" t="s">
        <v>12</v>
      </c>
      <c r="L16" s="119" t="s">
        <v>13</v>
      </c>
      <c r="M16" s="108" t="s">
        <v>34</v>
      </c>
      <c r="N16" s="108" t="s">
        <v>35</v>
      </c>
      <c r="O16" s="121" t="s">
        <v>14</v>
      </c>
      <c r="P16" s="122"/>
      <c r="Q16" s="122"/>
      <c r="R16" s="122"/>
      <c r="S16" s="123"/>
    </row>
    <row r="17" spans="1:19" s="6" customFormat="1" ht="12" customHeight="1">
      <c r="A17" s="107"/>
      <c r="B17" s="109"/>
      <c r="C17" s="109"/>
      <c r="D17" s="109"/>
      <c r="E17" s="125"/>
      <c r="F17" s="120"/>
      <c r="G17" s="109"/>
      <c r="H17" s="120"/>
      <c r="I17" s="112"/>
      <c r="J17" s="113"/>
      <c r="K17" s="120"/>
      <c r="L17" s="120"/>
      <c r="M17" s="109"/>
      <c r="N17" s="109"/>
      <c r="O17" s="116" t="s">
        <v>44</v>
      </c>
      <c r="P17" s="117" t="s">
        <v>8</v>
      </c>
      <c r="Q17" s="117" t="s">
        <v>11</v>
      </c>
      <c r="R17" s="117" t="s">
        <v>12</v>
      </c>
      <c r="S17" s="117" t="s">
        <v>13</v>
      </c>
    </row>
    <row r="18" spans="1:19" s="6" customFormat="1" ht="12" customHeight="1">
      <c r="A18" s="107"/>
      <c r="B18" s="109"/>
      <c r="C18" s="109"/>
      <c r="D18" s="109"/>
      <c r="E18" s="125"/>
      <c r="F18" s="120"/>
      <c r="G18" s="109"/>
      <c r="H18" s="120"/>
      <c r="I18" s="112"/>
      <c r="J18" s="113"/>
      <c r="K18" s="120"/>
      <c r="L18" s="120"/>
      <c r="M18" s="109"/>
      <c r="N18" s="109"/>
      <c r="O18" s="116"/>
      <c r="P18" s="117"/>
      <c r="Q18" s="117"/>
      <c r="R18" s="117"/>
      <c r="S18" s="117"/>
    </row>
    <row r="19" spans="1:19" s="6" customFormat="1" ht="12" customHeight="1">
      <c r="A19" s="107"/>
      <c r="B19" s="109"/>
      <c r="C19" s="109"/>
      <c r="D19" s="109"/>
      <c r="E19" s="125"/>
      <c r="F19" s="120"/>
      <c r="G19" s="109"/>
      <c r="H19" s="120"/>
      <c r="I19" s="114"/>
      <c r="J19" s="115"/>
      <c r="K19" s="120"/>
      <c r="L19" s="120"/>
      <c r="M19" s="109"/>
      <c r="N19" s="109"/>
      <c r="O19" s="116"/>
      <c r="P19" s="117"/>
      <c r="Q19" s="117"/>
      <c r="R19" s="117"/>
      <c r="S19" s="117"/>
    </row>
    <row r="20" spans="1:19" s="6" customFormat="1" ht="12" customHeight="1" thickBot="1">
      <c r="A20" s="107"/>
      <c r="B20" s="109"/>
      <c r="C20" s="109"/>
      <c r="D20" s="109"/>
      <c r="E20" s="125"/>
      <c r="F20" s="120"/>
      <c r="G20" s="109"/>
      <c r="H20" s="120"/>
      <c r="I20" s="52" t="s">
        <v>43</v>
      </c>
      <c r="J20" s="52" t="s">
        <v>12</v>
      </c>
      <c r="K20" s="120"/>
      <c r="L20" s="120"/>
      <c r="M20" s="109"/>
      <c r="N20" s="109"/>
      <c r="O20" s="108"/>
      <c r="P20" s="118"/>
      <c r="Q20" s="118"/>
      <c r="R20" s="118"/>
      <c r="S20" s="118"/>
    </row>
    <row r="21" spans="1:19">
      <c r="A21" s="76"/>
      <c r="B21" s="77"/>
      <c r="C21" s="77"/>
      <c r="D21" s="77"/>
      <c r="E21" s="78"/>
      <c r="F21" s="78"/>
      <c r="G21" s="77"/>
      <c r="H21" s="78"/>
      <c r="I21" s="77"/>
      <c r="J21" s="77"/>
      <c r="K21" s="78"/>
      <c r="L21" s="78" t="str">
        <f>IF(E21&lt;&gt;"",E21*H21*K21,"")</f>
        <v/>
      </c>
      <c r="M21" s="77" t="str">
        <f>IF(E21&lt;&gt;"","None","")</f>
        <v/>
      </c>
      <c r="N21" s="77"/>
      <c r="O21" s="77"/>
      <c r="P21" s="78"/>
      <c r="Q21" s="78"/>
      <c r="R21" s="78"/>
      <c r="S21" s="79" t="str">
        <f>IF(P21&lt;&gt;"",P21*Q21*R21,"")</f>
        <v/>
      </c>
    </row>
    <row r="22" spans="1:19">
      <c r="A22" s="80"/>
      <c r="B22" s="81"/>
      <c r="C22" s="81"/>
      <c r="D22" s="81"/>
      <c r="E22" s="82"/>
      <c r="F22" s="82"/>
      <c r="G22" s="81"/>
      <c r="H22" s="82"/>
      <c r="I22" s="81"/>
      <c r="J22" s="81"/>
      <c r="K22" s="82"/>
      <c r="L22" s="82" t="str">
        <f t="shared" ref="L22:L54" si="0">IF(E22&lt;&gt;"",E22*H22*K22,"")</f>
        <v/>
      </c>
      <c r="M22" s="81" t="str">
        <f t="shared" ref="M22:M54" si="1">IF(E22&lt;&gt;"","None","")</f>
        <v/>
      </c>
      <c r="N22" s="81"/>
      <c r="O22" s="81"/>
      <c r="P22" s="82"/>
      <c r="Q22" s="82"/>
      <c r="R22" s="82"/>
      <c r="S22" s="83" t="str">
        <f t="shared" ref="S22:S54" si="2">IF(P22&lt;&gt;"",P22*Q22*R22,"")</f>
        <v/>
      </c>
    </row>
    <row r="23" spans="1:19">
      <c r="A23" s="80"/>
      <c r="B23" s="81"/>
      <c r="C23" s="81"/>
      <c r="D23" s="81"/>
      <c r="E23" s="82"/>
      <c r="F23" s="82"/>
      <c r="G23" s="81"/>
      <c r="H23" s="82"/>
      <c r="I23" s="81"/>
      <c r="J23" s="81"/>
      <c r="K23" s="82"/>
      <c r="L23" s="82" t="str">
        <f t="shared" si="0"/>
        <v/>
      </c>
      <c r="M23" s="81" t="str">
        <f t="shared" si="1"/>
        <v/>
      </c>
      <c r="N23" s="81"/>
      <c r="O23" s="81"/>
      <c r="P23" s="82"/>
      <c r="Q23" s="82"/>
      <c r="R23" s="82"/>
      <c r="S23" s="83" t="str">
        <f t="shared" si="2"/>
        <v/>
      </c>
    </row>
    <row r="24" spans="1:19">
      <c r="A24" s="80"/>
      <c r="B24" s="81"/>
      <c r="C24" s="81"/>
      <c r="D24" s="81"/>
      <c r="E24" s="82"/>
      <c r="F24" s="82"/>
      <c r="G24" s="81"/>
      <c r="H24" s="82"/>
      <c r="I24" s="81"/>
      <c r="J24" s="81"/>
      <c r="K24" s="82"/>
      <c r="L24" s="82" t="str">
        <f t="shared" si="0"/>
        <v/>
      </c>
      <c r="M24" s="81" t="str">
        <f t="shared" si="1"/>
        <v/>
      </c>
      <c r="N24" s="81"/>
      <c r="O24" s="81"/>
      <c r="P24" s="82"/>
      <c r="Q24" s="82"/>
      <c r="R24" s="82"/>
      <c r="S24" s="83" t="str">
        <f t="shared" si="2"/>
        <v/>
      </c>
    </row>
    <row r="25" spans="1:19">
      <c r="A25" s="80"/>
      <c r="B25" s="81"/>
      <c r="C25" s="81"/>
      <c r="D25" s="81"/>
      <c r="E25" s="82"/>
      <c r="F25" s="82"/>
      <c r="G25" s="81"/>
      <c r="H25" s="82"/>
      <c r="I25" s="81"/>
      <c r="J25" s="81"/>
      <c r="K25" s="82"/>
      <c r="L25" s="82" t="str">
        <f t="shared" si="0"/>
        <v/>
      </c>
      <c r="M25" s="81" t="str">
        <f t="shared" si="1"/>
        <v/>
      </c>
      <c r="N25" s="81"/>
      <c r="O25" s="81"/>
      <c r="P25" s="82"/>
      <c r="Q25" s="82"/>
      <c r="R25" s="82"/>
      <c r="S25" s="83" t="str">
        <f t="shared" si="2"/>
        <v/>
      </c>
    </row>
    <row r="26" spans="1:19">
      <c r="A26" s="80"/>
      <c r="B26" s="81"/>
      <c r="C26" s="81"/>
      <c r="D26" s="81"/>
      <c r="E26" s="82"/>
      <c r="F26" s="82"/>
      <c r="G26" s="81"/>
      <c r="H26" s="82"/>
      <c r="I26" s="81"/>
      <c r="J26" s="81"/>
      <c r="K26" s="82"/>
      <c r="L26" s="82" t="str">
        <f t="shared" si="0"/>
        <v/>
      </c>
      <c r="M26" s="81" t="str">
        <f t="shared" si="1"/>
        <v/>
      </c>
      <c r="N26" s="81"/>
      <c r="O26" s="81"/>
      <c r="P26" s="82"/>
      <c r="Q26" s="82"/>
      <c r="R26" s="82"/>
      <c r="S26" s="83" t="str">
        <f t="shared" si="2"/>
        <v/>
      </c>
    </row>
    <row r="27" spans="1:19">
      <c r="A27" s="80"/>
      <c r="B27" s="81"/>
      <c r="C27" s="81"/>
      <c r="D27" s="81"/>
      <c r="E27" s="82"/>
      <c r="F27" s="82"/>
      <c r="G27" s="81"/>
      <c r="H27" s="82"/>
      <c r="I27" s="81"/>
      <c r="J27" s="81"/>
      <c r="K27" s="82"/>
      <c r="L27" s="82" t="str">
        <f t="shared" si="0"/>
        <v/>
      </c>
      <c r="M27" s="81" t="str">
        <f t="shared" si="1"/>
        <v/>
      </c>
      <c r="N27" s="81"/>
      <c r="O27" s="81"/>
      <c r="P27" s="82"/>
      <c r="Q27" s="82"/>
      <c r="R27" s="82"/>
      <c r="S27" s="83" t="str">
        <f t="shared" si="2"/>
        <v/>
      </c>
    </row>
    <row r="28" spans="1:19">
      <c r="A28" s="80"/>
      <c r="B28" s="81"/>
      <c r="C28" s="81"/>
      <c r="D28" s="81"/>
      <c r="E28" s="82"/>
      <c r="F28" s="82"/>
      <c r="G28" s="81"/>
      <c r="H28" s="82"/>
      <c r="I28" s="81"/>
      <c r="J28" s="81"/>
      <c r="K28" s="82"/>
      <c r="L28" s="82" t="str">
        <f t="shared" si="0"/>
        <v/>
      </c>
      <c r="M28" s="81" t="str">
        <f t="shared" si="1"/>
        <v/>
      </c>
      <c r="N28" s="81"/>
      <c r="O28" s="81"/>
      <c r="P28" s="82"/>
      <c r="Q28" s="82"/>
      <c r="R28" s="82"/>
      <c r="S28" s="83" t="str">
        <f t="shared" si="2"/>
        <v/>
      </c>
    </row>
    <row r="29" spans="1:19">
      <c r="A29" s="80"/>
      <c r="B29" s="81"/>
      <c r="C29" s="81"/>
      <c r="D29" s="81"/>
      <c r="E29" s="82"/>
      <c r="F29" s="82"/>
      <c r="G29" s="81"/>
      <c r="H29" s="82"/>
      <c r="I29" s="81"/>
      <c r="J29" s="81"/>
      <c r="K29" s="82"/>
      <c r="L29" s="82" t="str">
        <f t="shared" si="0"/>
        <v/>
      </c>
      <c r="M29" s="81" t="str">
        <f t="shared" si="1"/>
        <v/>
      </c>
      <c r="N29" s="81"/>
      <c r="O29" s="81"/>
      <c r="P29" s="82"/>
      <c r="Q29" s="82"/>
      <c r="R29" s="82"/>
      <c r="S29" s="83" t="str">
        <f t="shared" si="2"/>
        <v/>
      </c>
    </row>
    <row r="30" spans="1:19">
      <c r="A30" s="80"/>
      <c r="B30" s="81"/>
      <c r="C30" s="81"/>
      <c r="D30" s="81"/>
      <c r="E30" s="82"/>
      <c r="F30" s="82"/>
      <c r="G30" s="81"/>
      <c r="H30" s="82"/>
      <c r="I30" s="81"/>
      <c r="J30" s="81"/>
      <c r="K30" s="82"/>
      <c r="L30" s="82" t="str">
        <f t="shared" si="0"/>
        <v/>
      </c>
      <c r="M30" s="81" t="str">
        <f t="shared" si="1"/>
        <v/>
      </c>
      <c r="N30" s="81"/>
      <c r="O30" s="81"/>
      <c r="P30" s="82"/>
      <c r="Q30" s="82"/>
      <c r="R30" s="82"/>
      <c r="S30" s="83" t="str">
        <f t="shared" si="2"/>
        <v/>
      </c>
    </row>
    <row r="31" spans="1:19">
      <c r="A31" s="80"/>
      <c r="B31" s="81"/>
      <c r="C31" s="81"/>
      <c r="D31" s="81"/>
      <c r="E31" s="82"/>
      <c r="F31" s="82"/>
      <c r="G31" s="81"/>
      <c r="H31" s="82"/>
      <c r="I31" s="81"/>
      <c r="J31" s="81"/>
      <c r="K31" s="82"/>
      <c r="L31" s="82" t="str">
        <f t="shared" si="0"/>
        <v/>
      </c>
      <c r="M31" s="81" t="str">
        <f t="shared" si="1"/>
        <v/>
      </c>
      <c r="N31" s="81"/>
      <c r="O31" s="81"/>
      <c r="P31" s="82"/>
      <c r="Q31" s="82"/>
      <c r="R31" s="82"/>
      <c r="S31" s="83" t="str">
        <f t="shared" si="2"/>
        <v/>
      </c>
    </row>
    <row r="32" spans="1:19">
      <c r="A32" s="80"/>
      <c r="B32" s="81"/>
      <c r="C32" s="81"/>
      <c r="D32" s="81"/>
      <c r="E32" s="82"/>
      <c r="F32" s="82"/>
      <c r="G32" s="81"/>
      <c r="H32" s="82"/>
      <c r="I32" s="81"/>
      <c r="J32" s="81"/>
      <c r="K32" s="82"/>
      <c r="L32" s="82" t="str">
        <f t="shared" si="0"/>
        <v/>
      </c>
      <c r="M32" s="81" t="str">
        <f t="shared" si="1"/>
        <v/>
      </c>
      <c r="N32" s="81"/>
      <c r="O32" s="81"/>
      <c r="P32" s="82"/>
      <c r="Q32" s="82"/>
      <c r="R32" s="82"/>
      <c r="S32" s="83" t="str">
        <f t="shared" si="2"/>
        <v/>
      </c>
    </row>
    <row r="33" spans="1:19">
      <c r="A33" s="80"/>
      <c r="B33" s="81"/>
      <c r="C33" s="81"/>
      <c r="D33" s="81"/>
      <c r="E33" s="82"/>
      <c r="F33" s="82"/>
      <c r="G33" s="81"/>
      <c r="H33" s="82"/>
      <c r="I33" s="81"/>
      <c r="J33" s="81"/>
      <c r="K33" s="82"/>
      <c r="L33" s="82" t="str">
        <f t="shared" si="0"/>
        <v/>
      </c>
      <c r="M33" s="81" t="str">
        <f t="shared" si="1"/>
        <v/>
      </c>
      <c r="N33" s="81"/>
      <c r="O33" s="81"/>
      <c r="P33" s="82"/>
      <c r="Q33" s="82"/>
      <c r="R33" s="82"/>
      <c r="S33" s="83" t="str">
        <f t="shared" si="2"/>
        <v/>
      </c>
    </row>
    <row r="34" spans="1:19">
      <c r="A34" s="80"/>
      <c r="B34" s="81"/>
      <c r="C34" s="81"/>
      <c r="D34" s="81"/>
      <c r="E34" s="82"/>
      <c r="F34" s="82"/>
      <c r="G34" s="81"/>
      <c r="H34" s="82"/>
      <c r="I34" s="81"/>
      <c r="J34" s="81"/>
      <c r="K34" s="82"/>
      <c r="L34" s="82" t="str">
        <f t="shared" si="0"/>
        <v/>
      </c>
      <c r="M34" s="81" t="str">
        <f t="shared" si="1"/>
        <v/>
      </c>
      <c r="N34" s="81"/>
      <c r="O34" s="81"/>
      <c r="P34" s="82"/>
      <c r="Q34" s="82"/>
      <c r="R34" s="82"/>
      <c r="S34" s="83" t="str">
        <f t="shared" si="2"/>
        <v/>
      </c>
    </row>
    <row r="35" spans="1:19">
      <c r="A35" s="80"/>
      <c r="B35" s="81"/>
      <c r="C35" s="81"/>
      <c r="D35" s="81"/>
      <c r="E35" s="82"/>
      <c r="F35" s="82"/>
      <c r="G35" s="81"/>
      <c r="H35" s="82"/>
      <c r="I35" s="81"/>
      <c r="J35" s="81"/>
      <c r="K35" s="82"/>
      <c r="L35" s="82" t="str">
        <f t="shared" si="0"/>
        <v/>
      </c>
      <c r="M35" s="81" t="str">
        <f t="shared" si="1"/>
        <v/>
      </c>
      <c r="N35" s="81"/>
      <c r="O35" s="81"/>
      <c r="P35" s="82"/>
      <c r="Q35" s="82"/>
      <c r="R35" s="82"/>
      <c r="S35" s="83" t="str">
        <f t="shared" si="2"/>
        <v/>
      </c>
    </row>
    <row r="36" spans="1:19">
      <c r="A36" s="80"/>
      <c r="B36" s="81"/>
      <c r="C36" s="81"/>
      <c r="D36" s="81"/>
      <c r="E36" s="82"/>
      <c r="F36" s="82"/>
      <c r="G36" s="81"/>
      <c r="H36" s="82"/>
      <c r="I36" s="81"/>
      <c r="J36" s="81"/>
      <c r="K36" s="82"/>
      <c r="L36" s="82" t="str">
        <f t="shared" si="0"/>
        <v/>
      </c>
      <c r="M36" s="81" t="str">
        <f t="shared" si="1"/>
        <v/>
      </c>
      <c r="N36" s="81"/>
      <c r="O36" s="81"/>
      <c r="P36" s="82"/>
      <c r="Q36" s="82"/>
      <c r="R36" s="82"/>
      <c r="S36" s="83" t="str">
        <f t="shared" si="2"/>
        <v/>
      </c>
    </row>
    <row r="37" spans="1:19">
      <c r="A37" s="80"/>
      <c r="B37" s="81"/>
      <c r="C37" s="81"/>
      <c r="D37" s="81"/>
      <c r="E37" s="82"/>
      <c r="F37" s="82"/>
      <c r="G37" s="81"/>
      <c r="H37" s="82"/>
      <c r="I37" s="81"/>
      <c r="J37" s="81"/>
      <c r="K37" s="82"/>
      <c r="L37" s="82" t="str">
        <f t="shared" si="0"/>
        <v/>
      </c>
      <c r="M37" s="81" t="str">
        <f t="shared" si="1"/>
        <v/>
      </c>
      <c r="N37" s="81"/>
      <c r="O37" s="81"/>
      <c r="P37" s="82"/>
      <c r="Q37" s="82"/>
      <c r="R37" s="82"/>
      <c r="S37" s="83" t="str">
        <f t="shared" si="2"/>
        <v/>
      </c>
    </row>
    <row r="38" spans="1:19">
      <c r="A38" s="80"/>
      <c r="B38" s="81"/>
      <c r="C38" s="81"/>
      <c r="D38" s="81"/>
      <c r="E38" s="82"/>
      <c r="F38" s="82"/>
      <c r="G38" s="81"/>
      <c r="H38" s="82"/>
      <c r="I38" s="81"/>
      <c r="J38" s="81"/>
      <c r="K38" s="82"/>
      <c r="L38" s="82" t="str">
        <f t="shared" si="0"/>
        <v/>
      </c>
      <c r="M38" s="81" t="str">
        <f t="shared" si="1"/>
        <v/>
      </c>
      <c r="N38" s="81"/>
      <c r="O38" s="81"/>
      <c r="P38" s="82"/>
      <c r="Q38" s="82"/>
      <c r="R38" s="82"/>
      <c r="S38" s="83" t="str">
        <f t="shared" si="2"/>
        <v/>
      </c>
    </row>
    <row r="39" spans="1:19">
      <c r="A39" s="80"/>
      <c r="B39" s="81"/>
      <c r="C39" s="81"/>
      <c r="D39" s="81"/>
      <c r="E39" s="82"/>
      <c r="F39" s="82"/>
      <c r="G39" s="81"/>
      <c r="H39" s="82"/>
      <c r="I39" s="81"/>
      <c r="J39" s="81"/>
      <c r="K39" s="82"/>
      <c r="L39" s="82" t="str">
        <f t="shared" si="0"/>
        <v/>
      </c>
      <c r="M39" s="81" t="str">
        <f t="shared" si="1"/>
        <v/>
      </c>
      <c r="N39" s="81"/>
      <c r="O39" s="81"/>
      <c r="P39" s="82"/>
      <c r="Q39" s="82"/>
      <c r="R39" s="82"/>
      <c r="S39" s="83" t="str">
        <f t="shared" si="2"/>
        <v/>
      </c>
    </row>
    <row r="40" spans="1:19">
      <c r="A40" s="80"/>
      <c r="B40" s="81"/>
      <c r="C40" s="81"/>
      <c r="D40" s="81"/>
      <c r="E40" s="82"/>
      <c r="F40" s="82"/>
      <c r="G40" s="81"/>
      <c r="H40" s="82"/>
      <c r="I40" s="81"/>
      <c r="J40" s="81"/>
      <c r="K40" s="82"/>
      <c r="L40" s="82" t="str">
        <f t="shared" si="0"/>
        <v/>
      </c>
      <c r="M40" s="81" t="str">
        <f t="shared" si="1"/>
        <v/>
      </c>
      <c r="N40" s="81"/>
      <c r="O40" s="81"/>
      <c r="P40" s="82"/>
      <c r="Q40" s="82"/>
      <c r="R40" s="82"/>
      <c r="S40" s="83" t="str">
        <f t="shared" si="2"/>
        <v/>
      </c>
    </row>
    <row r="41" spans="1:19">
      <c r="A41" s="80"/>
      <c r="B41" s="81"/>
      <c r="C41" s="81"/>
      <c r="D41" s="81"/>
      <c r="E41" s="82"/>
      <c r="F41" s="82"/>
      <c r="G41" s="81"/>
      <c r="H41" s="82"/>
      <c r="I41" s="81"/>
      <c r="J41" s="81"/>
      <c r="K41" s="82"/>
      <c r="L41" s="82" t="str">
        <f t="shared" si="0"/>
        <v/>
      </c>
      <c r="M41" s="81" t="str">
        <f t="shared" si="1"/>
        <v/>
      </c>
      <c r="N41" s="81"/>
      <c r="O41" s="81"/>
      <c r="P41" s="82"/>
      <c r="Q41" s="82"/>
      <c r="R41" s="82"/>
      <c r="S41" s="83" t="str">
        <f t="shared" si="2"/>
        <v/>
      </c>
    </row>
    <row r="42" spans="1:19">
      <c r="A42" s="80"/>
      <c r="B42" s="81"/>
      <c r="C42" s="81"/>
      <c r="D42" s="81"/>
      <c r="E42" s="82"/>
      <c r="F42" s="82"/>
      <c r="G42" s="81"/>
      <c r="H42" s="82"/>
      <c r="I42" s="81"/>
      <c r="J42" s="81"/>
      <c r="K42" s="82"/>
      <c r="L42" s="82" t="str">
        <f t="shared" si="0"/>
        <v/>
      </c>
      <c r="M42" s="81" t="str">
        <f t="shared" si="1"/>
        <v/>
      </c>
      <c r="N42" s="81"/>
      <c r="O42" s="81"/>
      <c r="P42" s="82"/>
      <c r="Q42" s="82"/>
      <c r="R42" s="82"/>
      <c r="S42" s="83" t="str">
        <f t="shared" si="2"/>
        <v/>
      </c>
    </row>
    <row r="43" spans="1:19">
      <c r="A43" s="80"/>
      <c r="B43" s="81"/>
      <c r="C43" s="81"/>
      <c r="D43" s="81"/>
      <c r="E43" s="82"/>
      <c r="F43" s="82"/>
      <c r="G43" s="81"/>
      <c r="H43" s="82"/>
      <c r="I43" s="81"/>
      <c r="J43" s="81"/>
      <c r="K43" s="82"/>
      <c r="L43" s="82" t="str">
        <f t="shared" si="0"/>
        <v/>
      </c>
      <c r="M43" s="81" t="str">
        <f t="shared" si="1"/>
        <v/>
      </c>
      <c r="N43" s="81"/>
      <c r="O43" s="81"/>
      <c r="P43" s="82"/>
      <c r="Q43" s="82"/>
      <c r="R43" s="82"/>
      <c r="S43" s="83" t="str">
        <f t="shared" si="2"/>
        <v/>
      </c>
    </row>
    <row r="44" spans="1:19">
      <c r="A44" s="80"/>
      <c r="B44" s="81"/>
      <c r="C44" s="81"/>
      <c r="D44" s="81"/>
      <c r="E44" s="82"/>
      <c r="F44" s="82"/>
      <c r="G44" s="81"/>
      <c r="H44" s="82"/>
      <c r="I44" s="81"/>
      <c r="J44" s="81"/>
      <c r="K44" s="82"/>
      <c r="L44" s="82" t="str">
        <f t="shared" si="0"/>
        <v/>
      </c>
      <c r="M44" s="81" t="str">
        <f t="shared" si="1"/>
        <v/>
      </c>
      <c r="N44" s="81"/>
      <c r="O44" s="81"/>
      <c r="P44" s="82"/>
      <c r="Q44" s="82"/>
      <c r="R44" s="82"/>
      <c r="S44" s="83" t="str">
        <f t="shared" si="2"/>
        <v/>
      </c>
    </row>
    <row r="45" spans="1:19">
      <c r="A45" s="80"/>
      <c r="B45" s="81"/>
      <c r="C45" s="81"/>
      <c r="D45" s="81"/>
      <c r="E45" s="82"/>
      <c r="F45" s="82"/>
      <c r="G45" s="81"/>
      <c r="H45" s="82"/>
      <c r="I45" s="81"/>
      <c r="J45" s="81"/>
      <c r="K45" s="82"/>
      <c r="L45" s="82" t="str">
        <f t="shared" si="0"/>
        <v/>
      </c>
      <c r="M45" s="81" t="str">
        <f t="shared" si="1"/>
        <v/>
      </c>
      <c r="N45" s="81"/>
      <c r="O45" s="81"/>
      <c r="P45" s="82"/>
      <c r="Q45" s="82"/>
      <c r="R45" s="82"/>
      <c r="S45" s="83" t="str">
        <f t="shared" si="2"/>
        <v/>
      </c>
    </row>
    <row r="46" spans="1:19">
      <c r="A46" s="80"/>
      <c r="B46" s="81"/>
      <c r="C46" s="81"/>
      <c r="D46" s="81"/>
      <c r="E46" s="82"/>
      <c r="F46" s="82"/>
      <c r="G46" s="81"/>
      <c r="H46" s="82"/>
      <c r="I46" s="81"/>
      <c r="J46" s="81"/>
      <c r="K46" s="82"/>
      <c r="L46" s="82" t="str">
        <f t="shared" si="0"/>
        <v/>
      </c>
      <c r="M46" s="81" t="str">
        <f t="shared" si="1"/>
        <v/>
      </c>
      <c r="N46" s="81"/>
      <c r="O46" s="81"/>
      <c r="P46" s="82"/>
      <c r="Q46" s="82"/>
      <c r="R46" s="82"/>
      <c r="S46" s="83" t="str">
        <f t="shared" si="2"/>
        <v/>
      </c>
    </row>
    <row r="47" spans="1:19">
      <c r="A47" s="80"/>
      <c r="B47" s="81"/>
      <c r="C47" s="81"/>
      <c r="D47" s="81"/>
      <c r="E47" s="82"/>
      <c r="F47" s="82"/>
      <c r="G47" s="81"/>
      <c r="H47" s="82"/>
      <c r="I47" s="81"/>
      <c r="J47" s="81"/>
      <c r="K47" s="82"/>
      <c r="L47" s="82" t="str">
        <f t="shared" si="0"/>
        <v/>
      </c>
      <c r="M47" s="81" t="str">
        <f t="shared" si="1"/>
        <v/>
      </c>
      <c r="N47" s="81"/>
      <c r="O47" s="81"/>
      <c r="P47" s="82"/>
      <c r="Q47" s="82"/>
      <c r="R47" s="82"/>
      <c r="S47" s="83" t="str">
        <f t="shared" si="2"/>
        <v/>
      </c>
    </row>
    <row r="48" spans="1:19">
      <c r="A48" s="80"/>
      <c r="B48" s="81"/>
      <c r="C48" s="81"/>
      <c r="D48" s="81"/>
      <c r="E48" s="82"/>
      <c r="F48" s="82"/>
      <c r="G48" s="81"/>
      <c r="H48" s="82"/>
      <c r="I48" s="81"/>
      <c r="J48" s="81"/>
      <c r="K48" s="82"/>
      <c r="L48" s="82" t="str">
        <f t="shared" si="0"/>
        <v/>
      </c>
      <c r="M48" s="81" t="str">
        <f t="shared" si="1"/>
        <v/>
      </c>
      <c r="N48" s="81"/>
      <c r="O48" s="81"/>
      <c r="P48" s="82"/>
      <c r="Q48" s="82"/>
      <c r="R48" s="82"/>
      <c r="S48" s="83" t="str">
        <f t="shared" si="2"/>
        <v/>
      </c>
    </row>
    <row r="49" spans="1:19">
      <c r="A49" s="80"/>
      <c r="B49" s="81"/>
      <c r="C49" s="81"/>
      <c r="D49" s="81"/>
      <c r="E49" s="82"/>
      <c r="F49" s="82"/>
      <c r="G49" s="81"/>
      <c r="H49" s="82"/>
      <c r="I49" s="81"/>
      <c r="J49" s="81"/>
      <c r="K49" s="82"/>
      <c r="L49" s="82" t="str">
        <f t="shared" si="0"/>
        <v/>
      </c>
      <c r="M49" s="81" t="str">
        <f t="shared" si="1"/>
        <v/>
      </c>
      <c r="N49" s="81"/>
      <c r="O49" s="81"/>
      <c r="P49" s="82"/>
      <c r="Q49" s="82"/>
      <c r="R49" s="82"/>
      <c r="S49" s="83" t="str">
        <f t="shared" si="2"/>
        <v/>
      </c>
    </row>
    <row r="50" spans="1:19">
      <c r="A50" s="80"/>
      <c r="B50" s="81"/>
      <c r="C50" s="81"/>
      <c r="D50" s="81"/>
      <c r="E50" s="82"/>
      <c r="F50" s="82"/>
      <c r="G50" s="81"/>
      <c r="H50" s="82"/>
      <c r="I50" s="81"/>
      <c r="J50" s="81"/>
      <c r="K50" s="82"/>
      <c r="L50" s="82" t="str">
        <f t="shared" si="0"/>
        <v/>
      </c>
      <c r="M50" s="81" t="str">
        <f t="shared" si="1"/>
        <v/>
      </c>
      <c r="N50" s="81"/>
      <c r="O50" s="81"/>
      <c r="P50" s="82"/>
      <c r="Q50" s="82"/>
      <c r="R50" s="82"/>
      <c r="S50" s="83" t="str">
        <f t="shared" si="2"/>
        <v/>
      </c>
    </row>
    <row r="51" spans="1:19">
      <c r="A51" s="80"/>
      <c r="B51" s="81"/>
      <c r="C51" s="81"/>
      <c r="D51" s="81"/>
      <c r="E51" s="82"/>
      <c r="F51" s="82"/>
      <c r="G51" s="81"/>
      <c r="H51" s="82"/>
      <c r="I51" s="81"/>
      <c r="J51" s="81"/>
      <c r="K51" s="82"/>
      <c r="L51" s="82" t="str">
        <f t="shared" si="0"/>
        <v/>
      </c>
      <c r="M51" s="81" t="str">
        <f t="shared" si="1"/>
        <v/>
      </c>
      <c r="N51" s="81"/>
      <c r="O51" s="81"/>
      <c r="P51" s="82"/>
      <c r="Q51" s="82"/>
      <c r="R51" s="82"/>
      <c r="S51" s="83" t="str">
        <f t="shared" si="2"/>
        <v/>
      </c>
    </row>
    <row r="52" spans="1:19">
      <c r="A52" s="80"/>
      <c r="B52" s="81"/>
      <c r="C52" s="81"/>
      <c r="D52" s="81"/>
      <c r="E52" s="82"/>
      <c r="F52" s="82"/>
      <c r="G52" s="81"/>
      <c r="H52" s="82"/>
      <c r="I52" s="81"/>
      <c r="J52" s="81"/>
      <c r="K52" s="82"/>
      <c r="L52" s="82" t="str">
        <f t="shared" si="0"/>
        <v/>
      </c>
      <c r="M52" s="81" t="str">
        <f t="shared" si="1"/>
        <v/>
      </c>
      <c r="N52" s="81"/>
      <c r="O52" s="81"/>
      <c r="P52" s="82"/>
      <c r="Q52" s="82"/>
      <c r="R52" s="82"/>
      <c r="S52" s="83" t="str">
        <f t="shared" si="2"/>
        <v/>
      </c>
    </row>
    <row r="53" spans="1:19">
      <c r="A53" s="80"/>
      <c r="B53" s="81"/>
      <c r="C53" s="81"/>
      <c r="D53" s="81"/>
      <c r="E53" s="82"/>
      <c r="F53" s="82"/>
      <c r="G53" s="81"/>
      <c r="H53" s="82"/>
      <c r="I53" s="81"/>
      <c r="J53" s="81"/>
      <c r="K53" s="82"/>
      <c r="L53" s="82" t="str">
        <f t="shared" si="0"/>
        <v/>
      </c>
      <c r="M53" s="81" t="str">
        <f t="shared" si="1"/>
        <v/>
      </c>
      <c r="N53" s="81"/>
      <c r="O53" s="81"/>
      <c r="P53" s="82"/>
      <c r="Q53" s="82"/>
      <c r="R53" s="82"/>
      <c r="S53" s="83" t="str">
        <f t="shared" si="2"/>
        <v/>
      </c>
    </row>
    <row r="54" spans="1:19" ht="13.5" thickBot="1">
      <c r="A54" s="84"/>
      <c r="B54" s="85"/>
      <c r="C54" s="85"/>
      <c r="D54" s="85"/>
      <c r="E54" s="86"/>
      <c r="F54" s="86"/>
      <c r="G54" s="85"/>
      <c r="H54" s="86"/>
      <c r="I54" s="85"/>
      <c r="J54" s="85"/>
      <c r="K54" s="86"/>
      <c r="L54" s="86" t="str">
        <f t="shared" si="0"/>
        <v/>
      </c>
      <c r="M54" s="85" t="str">
        <f t="shared" si="1"/>
        <v/>
      </c>
      <c r="N54" s="85"/>
      <c r="O54" s="85"/>
      <c r="P54" s="86"/>
      <c r="Q54" s="86"/>
      <c r="R54" s="86"/>
      <c r="S54" s="87" t="str">
        <f t="shared" si="2"/>
        <v/>
      </c>
    </row>
  </sheetData>
  <mergeCells count="30">
    <mergeCell ref="D12:F12"/>
    <mergeCell ref="I12:L12"/>
    <mergeCell ref="O12:S12"/>
    <mergeCell ref="C16:C20"/>
    <mergeCell ref="D16:D20"/>
    <mergeCell ref="E16:E20"/>
    <mergeCell ref="F16:F20"/>
    <mergeCell ref="G16:G20"/>
    <mergeCell ref="H16:H20"/>
    <mergeCell ref="Q17:Q20"/>
    <mergeCell ref="R17:R20"/>
    <mergeCell ref="S17:S20"/>
    <mergeCell ref="A16:A20"/>
    <mergeCell ref="B16:B20"/>
    <mergeCell ref="I16:J19"/>
    <mergeCell ref="O17:O20"/>
    <mergeCell ref="P17:P20"/>
    <mergeCell ref="K16:K20"/>
    <mergeCell ref="L16:L20"/>
    <mergeCell ref="M16:M20"/>
    <mergeCell ref="N16:N20"/>
    <mergeCell ref="O16:S16"/>
    <mergeCell ref="O1:S1"/>
    <mergeCell ref="C1:N4"/>
    <mergeCell ref="B10:C10"/>
    <mergeCell ref="O6:S6"/>
    <mergeCell ref="O8:S8"/>
    <mergeCell ref="I10:L10"/>
    <mergeCell ref="O10:S10"/>
    <mergeCell ref="A1:B1"/>
  </mergeCells>
  <printOptions horizontalCentered="1"/>
  <pageMargins left="0.5" right="0.5" top="0.75" bottom="0.75" header="0.5" footer="0.5"/>
  <pageSetup scale="62" orientation="landscape" horizontalDpi="300" verticalDpi="1200" r:id="rId1"/>
  <headerFooter alignWithMargins="0">
    <oddFooter>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5"/>
  <sheetViews>
    <sheetView workbookViewId="0">
      <selection activeCell="B1" sqref="B1:D4"/>
    </sheetView>
  </sheetViews>
  <sheetFormatPr defaultColWidth="9.140625" defaultRowHeight="15"/>
  <cols>
    <col min="1" max="1" width="22.5703125" style="38" customWidth="1"/>
    <col min="2" max="2" width="51.140625" style="38" bestFit="1" customWidth="1"/>
    <col min="3" max="3" width="9.140625" style="36"/>
    <col min="4" max="4" width="16.140625" style="36" customWidth="1"/>
    <col min="5" max="5" width="62.85546875" style="36" bestFit="1" customWidth="1"/>
    <col min="6" max="6" width="7.28515625" style="36" bestFit="1" customWidth="1"/>
    <col min="7" max="16384" width="9.140625" style="36"/>
  </cols>
  <sheetData>
    <row r="1" spans="1:24" customFormat="1" ht="17.45" customHeight="1">
      <c r="A1" s="69"/>
      <c r="B1" s="139" t="s">
        <v>68</v>
      </c>
      <c r="C1" s="140"/>
      <c r="D1" s="141"/>
      <c r="E1" s="95" t="s">
        <v>69</v>
      </c>
      <c r="F1" s="94"/>
      <c r="G1" s="36"/>
      <c r="H1" s="51"/>
      <c r="I1" s="51"/>
      <c r="J1" s="51"/>
      <c r="K1" s="51"/>
      <c r="L1" s="58"/>
      <c r="M1" s="59"/>
      <c r="N1" s="59"/>
      <c r="O1" s="59"/>
      <c r="P1" s="59"/>
      <c r="Q1" s="59"/>
      <c r="R1" s="35"/>
      <c r="S1" s="35"/>
      <c r="T1" s="35"/>
      <c r="U1" s="35"/>
      <c r="V1" s="35"/>
      <c r="W1" s="35"/>
      <c r="X1" s="35"/>
    </row>
    <row r="2" spans="1:24" customFormat="1" ht="18">
      <c r="A2" s="70"/>
      <c r="B2" s="142"/>
      <c r="C2" s="143"/>
      <c r="D2" s="144"/>
      <c r="E2" s="28" t="s">
        <v>64</v>
      </c>
      <c r="F2" s="31">
        <v>42836</v>
      </c>
      <c r="G2" s="36"/>
      <c r="H2" s="51"/>
      <c r="I2" s="51"/>
      <c r="J2" s="51"/>
      <c r="K2" s="51"/>
      <c r="L2" s="58"/>
      <c r="M2" s="59"/>
      <c r="N2" s="59"/>
      <c r="O2" s="59"/>
      <c r="P2" s="59"/>
      <c r="Q2" s="59"/>
      <c r="R2" s="35"/>
      <c r="S2" s="35"/>
      <c r="T2" s="35"/>
      <c r="U2" s="35"/>
      <c r="V2" s="35"/>
      <c r="W2" s="35"/>
      <c r="X2" s="35"/>
    </row>
    <row r="3" spans="1:24" customFormat="1" ht="18">
      <c r="A3" s="71"/>
      <c r="B3" s="142"/>
      <c r="C3" s="143"/>
      <c r="D3" s="144"/>
      <c r="E3" s="28" t="s">
        <v>63</v>
      </c>
      <c r="F3" s="27">
        <v>3</v>
      </c>
      <c r="G3" s="36"/>
      <c r="H3" s="51"/>
      <c r="I3" s="51"/>
      <c r="J3" s="51"/>
      <c r="K3" s="51"/>
      <c r="L3" s="58"/>
      <c r="M3" s="59"/>
      <c r="N3" s="59"/>
      <c r="O3" s="59"/>
      <c r="P3" s="59"/>
      <c r="Q3" s="59"/>
      <c r="R3" s="35"/>
      <c r="S3" s="35"/>
      <c r="T3" s="35"/>
      <c r="U3" s="35"/>
      <c r="V3" s="35"/>
      <c r="W3" s="35"/>
      <c r="X3" s="35"/>
    </row>
    <row r="4" spans="1:24" customFormat="1" ht="18">
      <c r="A4" s="72"/>
      <c r="B4" s="145"/>
      <c r="C4" s="146"/>
      <c r="D4" s="147"/>
      <c r="E4" s="74" t="s">
        <v>155</v>
      </c>
      <c r="F4" s="68" t="s">
        <v>159</v>
      </c>
      <c r="G4" s="36"/>
      <c r="H4" s="51"/>
      <c r="I4" s="51"/>
      <c r="J4" s="51"/>
      <c r="K4" s="51"/>
      <c r="L4" s="58"/>
      <c r="M4" s="59"/>
      <c r="N4" s="59"/>
      <c r="O4" s="59"/>
      <c r="P4" s="59"/>
      <c r="Q4" s="59"/>
      <c r="R4" s="35"/>
      <c r="S4" s="35"/>
      <c r="T4" s="35"/>
      <c r="U4" s="35"/>
      <c r="V4" s="35"/>
      <c r="W4" s="35"/>
      <c r="X4" s="35"/>
    </row>
    <row r="5" spans="1:24" ht="60" customHeight="1">
      <c r="A5" s="45" t="s">
        <v>104</v>
      </c>
      <c r="B5" s="45" t="s">
        <v>105</v>
      </c>
      <c r="C5" s="46" t="s">
        <v>72</v>
      </c>
      <c r="D5" s="45" t="s">
        <v>104</v>
      </c>
      <c r="E5" s="148" t="s">
        <v>106</v>
      </c>
      <c r="F5" s="148"/>
    </row>
    <row r="6" spans="1:24" ht="30.95" customHeight="1">
      <c r="A6" s="138" t="s">
        <v>107</v>
      </c>
      <c r="B6" s="48" t="s">
        <v>108</v>
      </c>
      <c r="C6" s="42">
        <v>10</v>
      </c>
      <c r="D6" s="138" t="s">
        <v>107</v>
      </c>
      <c r="E6" s="138" t="s">
        <v>109</v>
      </c>
      <c r="F6" s="138"/>
    </row>
    <row r="7" spans="1:24" ht="30.95" customHeight="1">
      <c r="A7" s="138"/>
      <c r="B7" s="48" t="s">
        <v>110</v>
      </c>
      <c r="C7" s="42">
        <v>9</v>
      </c>
      <c r="D7" s="138"/>
      <c r="E7" s="138" t="s">
        <v>111</v>
      </c>
      <c r="F7" s="138"/>
    </row>
    <row r="8" spans="1:24" ht="47.25" customHeight="1">
      <c r="A8" s="138" t="s">
        <v>112</v>
      </c>
      <c r="B8" s="48" t="s">
        <v>113</v>
      </c>
      <c r="C8" s="42">
        <v>8</v>
      </c>
      <c r="D8" s="39" t="s">
        <v>114</v>
      </c>
      <c r="E8" s="138" t="s">
        <v>115</v>
      </c>
      <c r="F8" s="138"/>
    </row>
    <row r="9" spans="1:24" ht="56.25" customHeight="1">
      <c r="A9" s="138"/>
      <c r="B9" s="48" t="s">
        <v>116</v>
      </c>
      <c r="C9" s="42">
        <v>7</v>
      </c>
      <c r="D9" s="39" t="s">
        <v>117</v>
      </c>
      <c r="E9" s="138" t="s">
        <v>118</v>
      </c>
      <c r="F9" s="138"/>
    </row>
    <row r="10" spans="1:24" ht="30.95" customHeight="1">
      <c r="A10" s="138" t="s">
        <v>119</v>
      </c>
      <c r="B10" s="48" t="s">
        <v>120</v>
      </c>
      <c r="C10" s="42">
        <v>6</v>
      </c>
      <c r="D10" s="138" t="s">
        <v>121</v>
      </c>
      <c r="E10" s="138" t="s">
        <v>122</v>
      </c>
      <c r="F10" s="138"/>
    </row>
    <row r="11" spans="1:24" ht="39" customHeight="1">
      <c r="A11" s="138"/>
      <c r="B11" s="48" t="s">
        <v>123</v>
      </c>
      <c r="C11" s="42">
        <v>5</v>
      </c>
      <c r="D11" s="138"/>
      <c r="E11" s="138" t="s">
        <v>124</v>
      </c>
      <c r="F11" s="138"/>
    </row>
    <row r="12" spans="1:24" ht="30.95" customHeight="1">
      <c r="A12" s="138" t="s">
        <v>125</v>
      </c>
      <c r="B12" s="48" t="s">
        <v>126</v>
      </c>
      <c r="C12" s="42">
        <v>4</v>
      </c>
      <c r="D12" s="138" t="s">
        <v>121</v>
      </c>
      <c r="E12" s="138" t="s">
        <v>127</v>
      </c>
      <c r="F12" s="138"/>
    </row>
    <row r="13" spans="1:24" ht="30.95" customHeight="1">
      <c r="A13" s="138"/>
      <c r="B13" s="48" t="s">
        <v>128</v>
      </c>
      <c r="C13" s="42">
        <v>3</v>
      </c>
      <c r="D13" s="138"/>
      <c r="E13" s="138" t="s">
        <v>129</v>
      </c>
      <c r="F13" s="138"/>
    </row>
    <row r="14" spans="1:24" ht="30.95" customHeight="1">
      <c r="A14" s="138"/>
      <c r="B14" s="48" t="s">
        <v>130</v>
      </c>
      <c r="C14" s="42">
        <v>2</v>
      </c>
      <c r="D14" s="39" t="s">
        <v>131</v>
      </c>
      <c r="E14" s="138" t="s">
        <v>132</v>
      </c>
      <c r="F14" s="138"/>
    </row>
    <row r="15" spans="1:24" ht="30.95" customHeight="1">
      <c r="A15" s="39" t="s">
        <v>133</v>
      </c>
      <c r="B15" s="48" t="s">
        <v>134</v>
      </c>
      <c r="C15" s="42">
        <v>1</v>
      </c>
      <c r="D15" s="39" t="s">
        <v>133</v>
      </c>
      <c r="E15" s="138" t="s">
        <v>135</v>
      </c>
      <c r="F15" s="138"/>
    </row>
  </sheetData>
  <mergeCells count="19">
    <mergeCell ref="B1:D4"/>
    <mergeCell ref="E11:F11"/>
    <mergeCell ref="E12:F12"/>
    <mergeCell ref="E13:F13"/>
    <mergeCell ref="E14:F14"/>
    <mergeCell ref="E5:F5"/>
    <mergeCell ref="E15:F15"/>
    <mergeCell ref="A12:A14"/>
    <mergeCell ref="D12:D13"/>
    <mergeCell ref="A6:A7"/>
    <mergeCell ref="D6:D7"/>
    <mergeCell ref="A8:A9"/>
    <mergeCell ref="A10:A11"/>
    <mergeCell ref="D10:D11"/>
    <mergeCell ref="E6:F6"/>
    <mergeCell ref="E7:F7"/>
    <mergeCell ref="E8:F8"/>
    <mergeCell ref="E9:F9"/>
    <mergeCell ref="E10:F10"/>
  </mergeCells>
  <pageMargins left="0.7" right="0.7" top="0.75" bottom="0.75" header="0.3" footer="0.3"/>
  <pageSetup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F3" sqref="F3"/>
    </sheetView>
  </sheetViews>
  <sheetFormatPr defaultColWidth="9.140625" defaultRowHeight="15"/>
  <cols>
    <col min="1" max="1" width="17.85546875" style="37" customWidth="1"/>
    <col min="2" max="2" width="30.85546875" style="36" customWidth="1"/>
    <col min="3" max="4" width="9.140625" style="36"/>
    <col min="5" max="5" width="15.7109375" style="36" customWidth="1"/>
    <col min="6" max="16384" width="9.140625" style="36"/>
  </cols>
  <sheetData>
    <row r="1" spans="1:9" customFormat="1" ht="33.75" customHeight="1">
      <c r="A1" s="152"/>
      <c r="B1" s="139" t="s">
        <v>68</v>
      </c>
      <c r="C1" s="140"/>
      <c r="D1" s="141"/>
      <c r="E1" s="96" t="s">
        <v>69</v>
      </c>
      <c r="F1" s="98"/>
      <c r="G1" s="61"/>
      <c r="H1" s="36"/>
      <c r="I1" s="36"/>
    </row>
    <row r="2" spans="1:9" customFormat="1" ht="12.75" customHeight="1">
      <c r="A2" s="153"/>
      <c r="B2" s="142"/>
      <c r="C2" s="143"/>
      <c r="D2" s="144"/>
      <c r="E2" s="28" t="s">
        <v>64</v>
      </c>
      <c r="F2" s="31">
        <v>42836</v>
      </c>
      <c r="G2" s="61"/>
      <c r="H2" s="36"/>
      <c r="I2" s="36"/>
    </row>
    <row r="3" spans="1:9" customFormat="1" ht="13.5" customHeight="1">
      <c r="A3" s="153"/>
      <c r="B3" s="142"/>
      <c r="C3" s="143"/>
      <c r="D3" s="144"/>
      <c r="E3" s="28" t="s">
        <v>63</v>
      </c>
      <c r="F3" s="27">
        <v>3</v>
      </c>
      <c r="G3" s="61"/>
      <c r="H3" s="36"/>
      <c r="I3" s="36"/>
    </row>
    <row r="4" spans="1:9" customFormat="1" ht="13.9" customHeight="1">
      <c r="A4" s="154"/>
      <c r="B4" s="145"/>
      <c r="C4" s="146"/>
      <c r="D4" s="147"/>
      <c r="E4" s="74" t="s">
        <v>155</v>
      </c>
      <c r="F4" s="68" t="s">
        <v>161</v>
      </c>
      <c r="G4" s="61"/>
      <c r="H4" s="36"/>
      <c r="I4" s="36"/>
    </row>
    <row r="5" spans="1:9" customFormat="1" ht="13.9" customHeight="1">
      <c r="A5" s="56"/>
      <c r="B5" s="73"/>
      <c r="C5" s="73"/>
      <c r="D5" s="73"/>
      <c r="E5" s="63"/>
      <c r="F5" s="60"/>
      <c r="G5" s="62"/>
      <c r="H5" s="36"/>
      <c r="I5" s="36"/>
    </row>
    <row r="6" spans="1:9" ht="45" customHeight="1">
      <c r="A6" s="44" t="s">
        <v>70</v>
      </c>
      <c r="B6" s="155" t="s">
        <v>71</v>
      </c>
      <c r="C6" s="155"/>
      <c r="D6" s="155"/>
      <c r="E6" s="151" t="s">
        <v>72</v>
      </c>
      <c r="F6" s="151"/>
    </row>
    <row r="7" spans="1:9" ht="30.95" customHeight="1">
      <c r="A7" s="42" t="s">
        <v>73</v>
      </c>
      <c r="B7" s="150" t="s">
        <v>145</v>
      </c>
      <c r="C7" s="138"/>
      <c r="D7" s="138"/>
      <c r="E7" s="149">
        <v>10</v>
      </c>
      <c r="F7" s="149"/>
    </row>
    <row r="8" spans="1:9" ht="30.95" customHeight="1">
      <c r="A8" s="149" t="s">
        <v>74</v>
      </c>
      <c r="B8" s="138" t="s">
        <v>137</v>
      </c>
      <c r="C8" s="138"/>
      <c r="D8" s="138"/>
      <c r="E8" s="149">
        <v>9</v>
      </c>
      <c r="F8" s="149"/>
    </row>
    <row r="9" spans="1:9" ht="30.95" customHeight="1">
      <c r="A9" s="149"/>
      <c r="B9" s="138" t="s">
        <v>138</v>
      </c>
      <c r="C9" s="138"/>
      <c r="D9" s="138"/>
      <c r="E9" s="149">
        <v>8</v>
      </c>
      <c r="F9" s="149"/>
    </row>
    <row r="10" spans="1:9" ht="30.95" customHeight="1">
      <c r="A10" s="149"/>
      <c r="B10" s="138" t="s">
        <v>139</v>
      </c>
      <c r="C10" s="138"/>
      <c r="D10" s="138"/>
      <c r="E10" s="149">
        <v>7</v>
      </c>
      <c r="F10" s="149"/>
    </row>
    <row r="11" spans="1:9" ht="30.95" customHeight="1">
      <c r="A11" s="149" t="s">
        <v>75</v>
      </c>
      <c r="B11" s="138" t="s">
        <v>140</v>
      </c>
      <c r="C11" s="138"/>
      <c r="D11" s="138"/>
      <c r="E11" s="149">
        <v>6</v>
      </c>
      <c r="F11" s="149"/>
    </row>
    <row r="12" spans="1:9" ht="30.95" customHeight="1">
      <c r="A12" s="149"/>
      <c r="B12" s="138" t="s">
        <v>141</v>
      </c>
      <c r="C12" s="138"/>
      <c r="D12" s="138"/>
      <c r="E12" s="149">
        <v>5</v>
      </c>
      <c r="F12" s="149"/>
    </row>
    <row r="13" spans="1:9" ht="30.95" customHeight="1">
      <c r="A13" s="149"/>
      <c r="B13" s="138" t="s">
        <v>142</v>
      </c>
      <c r="C13" s="138"/>
      <c r="D13" s="138"/>
      <c r="E13" s="149">
        <v>4</v>
      </c>
      <c r="F13" s="149"/>
    </row>
    <row r="14" spans="1:9" ht="30.95" customHeight="1">
      <c r="A14" s="149" t="s">
        <v>76</v>
      </c>
      <c r="B14" s="138" t="s">
        <v>143</v>
      </c>
      <c r="C14" s="138"/>
      <c r="D14" s="138"/>
      <c r="E14" s="149">
        <v>3</v>
      </c>
      <c r="F14" s="149"/>
    </row>
    <row r="15" spans="1:9" ht="30.95" customHeight="1">
      <c r="A15" s="149"/>
      <c r="B15" s="150" t="s">
        <v>144</v>
      </c>
      <c r="C15" s="138"/>
      <c r="D15" s="138"/>
      <c r="E15" s="149">
        <v>2</v>
      </c>
      <c r="F15" s="149"/>
    </row>
    <row r="16" spans="1:9" ht="30.95" customHeight="1">
      <c r="A16" s="42" t="s">
        <v>77</v>
      </c>
      <c r="B16" s="138" t="s">
        <v>78</v>
      </c>
      <c r="C16" s="138"/>
      <c r="D16" s="138"/>
      <c r="E16" s="149">
        <v>1</v>
      </c>
      <c r="F16" s="149"/>
    </row>
  </sheetData>
  <mergeCells count="28">
    <mergeCell ref="E1:F1"/>
    <mergeCell ref="B1:D4"/>
    <mergeCell ref="A1:A4"/>
    <mergeCell ref="B16:D16"/>
    <mergeCell ref="B6:D6"/>
    <mergeCell ref="B7:D7"/>
    <mergeCell ref="B8:D8"/>
    <mergeCell ref="B9:D9"/>
    <mergeCell ref="B10:D10"/>
    <mergeCell ref="B11:D11"/>
    <mergeCell ref="A8:A10"/>
    <mergeCell ref="A11:A13"/>
    <mergeCell ref="A14:A15"/>
    <mergeCell ref="B12:D12"/>
    <mergeCell ref="B13:D13"/>
    <mergeCell ref="B14:D14"/>
    <mergeCell ref="E16:F16"/>
    <mergeCell ref="B15:D1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"/>
  <sheetViews>
    <sheetView workbookViewId="0">
      <selection activeCell="E2" sqref="E2"/>
    </sheetView>
  </sheetViews>
  <sheetFormatPr defaultColWidth="9.140625" defaultRowHeight="15"/>
  <cols>
    <col min="1" max="1" width="25.7109375" style="36" customWidth="1"/>
    <col min="2" max="2" width="55.7109375" style="36" customWidth="1"/>
    <col min="3" max="3" width="9.140625" style="43"/>
    <col min="4" max="4" width="12" style="38" customWidth="1"/>
    <col min="5" max="16384" width="9.140625" style="36"/>
  </cols>
  <sheetData>
    <row r="1" spans="1:9" customFormat="1" ht="33.75" customHeight="1">
      <c r="A1" s="131"/>
      <c r="B1" s="139" t="s">
        <v>68</v>
      </c>
      <c r="C1" s="140"/>
      <c r="D1" s="96" t="s">
        <v>69</v>
      </c>
      <c r="E1" s="98"/>
      <c r="F1" s="75"/>
      <c r="G1" s="62"/>
      <c r="H1" s="36"/>
      <c r="I1" s="36"/>
    </row>
    <row r="2" spans="1:9" customFormat="1" ht="12.75" customHeight="1">
      <c r="A2" s="133"/>
      <c r="B2" s="142"/>
      <c r="C2" s="143"/>
      <c r="D2" s="28" t="s">
        <v>64</v>
      </c>
      <c r="E2" s="31">
        <v>42836</v>
      </c>
      <c r="F2" s="75"/>
      <c r="G2" s="62"/>
      <c r="H2" s="36"/>
      <c r="I2" s="36"/>
    </row>
    <row r="3" spans="1:9" customFormat="1" ht="13.5" customHeight="1">
      <c r="A3" s="133"/>
      <c r="B3" s="142"/>
      <c r="C3" s="143"/>
      <c r="D3" s="28" t="s">
        <v>63</v>
      </c>
      <c r="E3" s="27">
        <v>3</v>
      </c>
      <c r="F3" s="75"/>
      <c r="G3" s="62"/>
      <c r="H3" s="36"/>
      <c r="I3" s="36"/>
    </row>
    <row r="4" spans="1:9" customFormat="1" ht="13.9" customHeight="1">
      <c r="A4" s="135"/>
      <c r="B4" s="145"/>
      <c r="C4" s="146"/>
      <c r="D4" s="74" t="s">
        <v>155</v>
      </c>
      <c r="E4" s="68" t="s">
        <v>160</v>
      </c>
      <c r="F4" s="75"/>
      <c r="G4" s="62"/>
      <c r="H4" s="36"/>
      <c r="I4" s="36"/>
    </row>
    <row r="5" spans="1:9" ht="30" customHeight="1">
      <c r="A5" s="45" t="s">
        <v>79</v>
      </c>
      <c r="B5" s="45" t="s">
        <v>80</v>
      </c>
      <c r="C5" s="45" t="s">
        <v>72</v>
      </c>
      <c r="D5" s="156" t="s">
        <v>81</v>
      </c>
      <c r="E5" s="156"/>
      <c r="F5" s="75"/>
    </row>
    <row r="6" spans="1:9" ht="30" customHeight="1">
      <c r="A6" s="47" t="s">
        <v>82</v>
      </c>
      <c r="B6" s="48" t="s">
        <v>83</v>
      </c>
      <c r="C6" s="42">
        <v>10</v>
      </c>
      <c r="D6" s="138" t="s">
        <v>84</v>
      </c>
      <c r="E6" s="138"/>
    </row>
    <row r="7" spans="1:9" ht="30">
      <c r="A7" s="39" t="s">
        <v>85</v>
      </c>
      <c r="B7" s="48" t="s">
        <v>86</v>
      </c>
      <c r="C7" s="42">
        <v>9</v>
      </c>
      <c r="D7" s="138" t="s">
        <v>87</v>
      </c>
      <c r="E7" s="138"/>
    </row>
    <row r="8" spans="1:9" ht="30">
      <c r="A8" s="39" t="s">
        <v>88</v>
      </c>
      <c r="B8" s="48" t="s">
        <v>89</v>
      </c>
      <c r="C8" s="42">
        <v>8</v>
      </c>
      <c r="D8" s="138" t="s">
        <v>90</v>
      </c>
      <c r="E8" s="138"/>
    </row>
    <row r="9" spans="1:9" ht="60">
      <c r="A9" s="39" t="s">
        <v>91</v>
      </c>
      <c r="B9" s="48" t="s">
        <v>92</v>
      </c>
      <c r="C9" s="42">
        <v>7</v>
      </c>
      <c r="D9" s="138" t="s">
        <v>77</v>
      </c>
      <c r="E9" s="138"/>
    </row>
    <row r="10" spans="1:9" ht="60">
      <c r="A10" s="39" t="s">
        <v>88</v>
      </c>
      <c r="B10" s="48" t="s">
        <v>93</v>
      </c>
      <c r="C10" s="42">
        <v>6</v>
      </c>
      <c r="D10" s="138" t="s">
        <v>76</v>
      </c>
      <c r="E10" s="138"/>
    </row>
    <row r="11" spans="1:9" ht="75">
      <c r="A11" s="39" t="s">
        <v>91</v>
      </c>
      <c r="B11" s="48" t="s">
        <v>94</v>
      </c>
      <c r="C11" s="42">
        <v>5</v>
      </c>
      <c r="D11" s="138" t="s">
        <v>75</v>
      </c>
      <c r="E11" s="138"/>
    </row>
    <row r="12" spans="1:9" ht="45">
      <c r="A12" s="39" t="s">
        <v>88</v>
      </c>
      <c r="B12" s="48" t="s">
        <v>95</v>
      </c>
      <c r="C12" s="42">
        <v>4</v>
      </c>
      <c r="D12" s="138" t="s">
        <v>96</v>
      </c>
      <c r="E12" s="138"/>
    </row>
    <row r="13" spans="1:9" ht="45">
      <c r="A13" s="39" t="s">
        <v>91</v>
      </c>
      <c r="B13" s="48" t="s">
        <v>97</v>
      </c>
      <c r="C13" s="42">
        <v>3</v>
      </c>
      <c r="D13" s="138" t="s">
        <v>74</v>
      </c>
      <c r="E13" s="138"/>
    </row>
    <row r="14" spans="1:9" ht="45">
      <c r="A14" s="39" t="s">
        <v>98</v>
      </c>
      <c r="B14" s="48" t="s">
        <v>99</v>
      </c>
      <c r="C14" s="42">
        <v>2</v>
      </c>
      <c r="D14" s="138" t="s">
        <v>100</v>
      </c>
      <c r="E14" s="138"/>
    </row>
    <row r="15" spans="1:9" ht="60">
      <c r="A15" s="39" t="s">
        <v>101</v>
      </c>
      <c r="B15" s="48" t="s">
        <v>102</v>
      </c>
      <c r="C15" s="42">
        <v>1</v>
      </c>
      <c r="D15" s="138" t="s">
        <v>103</v>
      </c>
      <c r="E15" s="138"/>
    </row>
  </sheetData>
  <mergeCells count="14">
    <mergeCell ref="A1:A4"/>
    <mergeCell ref="D1:E1"/>
    <mergeCell ref="B1:C4"/>
    <mergeCell ref="D12:E12"/>
    <mergeCell ref="D13:E13"/>
    <mergeCell ref="D5:E5"/>
    <mergeCell ref="D14:E14"/>
    <mergeCell ref="D15:E15"/>
    <mergeCell ref="D6:E6"/>
    <mergeCell ref="D7:E7"/>
    <mergeCell ref="D8:E8"/>
    <mergeCell ref="D9:E9"/>
    <mergeCell ref="D10:E10"/>
    <mergeCell ref="D11:E11"/>
  </mergeCells>
  <pageMargins left="0.7" right="0.7" top="0.75" bottom="0.75" header="0.3" footer="0.3"/>
  <pageSetup scale="8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42"/>
  <sheetViews>
    <sheetView showGridLines="0" zoomScale="55" zoomScaleNormal="55" workbookViewId="0">
      <selection activeCell="R11" sqref="R11"/>
    </sheetView>
  </sheetViews>
  <sheetFormatPr defaultRowHeight="12.75"/>
  <cols>
    <col min="1" max="18" width="11" customWidth="1"/>
  </cols>
  <sheetData>
    <row r="1" spans="1:26" ht="17.45" customHeight="1">
      <c r="A1" s="104"/>
      <c r="B1" s="105"/>
      <c r="C1" s="99" t="s">
        <v>68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6" t="s">
        <v>69</v>
      </c>
      <c r="P1" s="97"/>
      <c r="Q1" s="97"/>
      <c r="R1" s="97"/>
      <c r="S1" s="98"/>
      <c r="T1" s="35"/>
      <c r="U1" s="35"/>
      <c r="V1" s="35"/>
      <c r="W1" s="35"/>
      <c r="X1" s="35"/>
      <c r="Y1" s="35"/>
      <c r="Z1" s="35"/>
    </row>
    <row r="2" spans="1:26">
      <c r="A2" s="32"/>
      <c r="B2" s="2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64"/>
      <c r="P2" s="59"/>
      <c r="Q2" s="59"/>
      <c r="R2" s="63" t="s">
        <v>64</v>
      </c>
      <c r="S2" s="31">
        <v>42836</v>
      </c>
      <c r="T2" s="35"/>
      <c r="U2" s="35"/>
      <c r="V2" s="35"/>
      <c r="W2" s="35"/>
      <c r="X2" s="35"/>
      <c r="Y2" s="35"/>
      <c r="Z2" s="35"/>
    </row>
    <row r="3" spans="1:26">
      <c r="A3" s="30"/>
      <c r="B3" s="2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64"/>
      <c r="P3" s="59"/>
      <c r="Q3" s="59"/>
      <c r="R3" s="63" t="s">
        <v>63</v>
      </c>
      <c r="S3" s="27">
        <v>3</v>
      </c>
      <c r="T3" s="35"/>
      <c r="U3" s="35"/>
      <c r="V3" s="35"/>
      <c r="W3" s="35"/>
      <c r="X3" s="35"/>
      <c r="Y3" s="35"/>
      <c r="Z3" s="35"/>
    </row>
    <row r="4" spans="1:26">
      <c r="A4" s="88"/>
      <c r="B4" s="8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65"/>
      <c r="P4" s="66"/>
      <c r="Q4" s="66"/>
      <c r="R4" s="67" t="s">
        <v>155</v>
      </c>
      <c r="S4" s="68" t="s">
        <v>164</v>
      </c>
      <c r="T4" s="35"/>
      <c r="U4" s="35"/>
      <c r="V4" s="35"/>
      <c r="W4" s="35"/>
      <c r="X4" s="35"/>
      <c r="Y4" s="35"/>
      <c r="Z4" s="35"/>
    </row>
    <row r="10" spans="1:26" ht="20.25" customHeight="1"/>
    <row r="11" spans="1:26" ht="20.25" customHeight="1"/>
    <row r="12" spans="1:26" ht="20.25" customHeight="1"/>
    <row r="13" spans="1:26" ht="20.25" customHeight="1"/>
    <row r="14" spans="1:26" ht="20.25" customHeight="1"/>
    <row r="15" spans="1:26" ht="20.25" customHeight="1"/>
    <row r="16" spans="1:26" ht="5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</sheetData>
  <mergeCells count="3">
    <mergeCell ref="A1:B1"/>
    <mergeCell ref="C1:N4"/>
    <mergeCell ref="O1:S1"/>
  </mergeCells>
  <printOptions horizontalCentered="1" verticalCentered="1"/>
  <pageMargins left="0.2" right="0.2" top="0.25" bottom="0.25" header="0.3" footer="0.3"/>
  <pageSetup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42"/>
  <sheetViews>
    <sheetView showGridLines="0" zoomScale="55" zoomScaleNormal="55" workbookViewId="0">
      <selection activeCell="R10" sqref="R10"/>
    </sheetView>
  </sheetViews>
  <sheetFormatPr defaultRowHeight="12.75"/>
  <cols>
    <col min="1" max="18" width="11" customWidth="1"/>
  </cols>
  <sheetData>
    <row r="1" spans="1:26" ht="17.45" customHeight="1">
      <c r="A1" s="104"/>
      <c r="B1" s="105"/>
      <c r="C1" s="99" t="s">
        <v>68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6" t="s">
        <v>69</v>
      </c>
      <c r="P1" s="97"/>
      <c r="Q1" s="97"/>
      <c r="R1" s="97"/>
      <c r="S1" s="98"/>
      <c r="T1" s="35"/>
      <c r="U1" s="35"/>
      <c r="V1" s="35"/>
      <c r="W1" s="35"/>
      <c r="X1" s="35"/>
      <c r="Y1" s="35"/>
      <c r="Z1" s="35"/>
    </row>
    <row r="2" spans="1:26">
      <c r="A2" s="32"/>
      <c r="B2" s="2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64"/>
      <c r="P2" s="59"/>
      <c r="Q2" s="59"/>
      <c r="R2" s="63" t="s">
        <v>64</v>
      </c>
      <c r="S2" s="31">
        <v>42836</v>
      </c>
      <c r="T2" s="35"/>
      <c r="U2" s="35"/>
      <c r="V2" s="35"/>
      <c r="W2" s="35"/>
      <c r="X2" s="35"/>
      <c r="Y2" s="35"/>
      <c r="Z2" s="35"/>
    </row>
    <row r="3" spans="1:26">
      <c r="A3" s="30"/>
      <c r="B3" s="2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64"/>
      <c r="P3" s="59"/>
      <c r="Q3" s="59"/>
      <c r="R3" s="63" t="s">
        <v>63</v>
      </c>
      <c r="S3" s="27">
        <v>3</v>
      </c>
      <c r="T3" s="35"/>
      <c r="U3" s="35"/>
      <c r="V3" s="35"/>
      <c r="W3" s="35"/>
      <c r="X3" s="35"/>
      <c r="Y3" s="35"/>
      <c r="Z3" s="35"/>
    </row>
    <row r="4" spans="1:26">
      <c r="A4" s="88"/>
      <c r="B4" s="8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65"/>
      <c r="P4" s="66"/>
      <c r="Q4" s="66"/>
      <c r="R4" s="67" t="s">
        <v>155</v>
      </c>
      <c r="S4" s="68" t="s">
        <v>163</v>
      </c>
      <c r="T4" s="35"/>
      <c r="U4" s="35"/>
      <c r="V4" s="35"/>
      <c r="W4" s="35"/>
      <c r="X4" s="35"/>
      <c r="Y4" s="35"/>
      <c r="Z4" s="35"/>
    </row>
    <row r="10" spans="1:26" ht="20.25" customHeight="1"/>
    <row r="11" spans="1:26" ht="20.25" customHeight="1"/>
    <row r="12" spans="1:26" ht="20.25" customHeight="1"/>
    <row r="13" spans="1:26" ht="20.25" customHeight="1"/>
    <row r="14" spans="1:26" ht="20.25" customHeight="1"/>
    <row r="15" spans="1:26" ht="20.25" customHeight="1"/>
    <row r="16" spans="1:26" ht="5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</sheetData>
  <mergeCells count="3">
    <mergeCell ref="A1:B1"/>
    <mergeCell ref="C1:N4"/>
    <mergeCell ref="O1:S1"/>
  </mergeCells>
  <printOptions horizontalCentered="1" verticalCentered="1"/>
  <pageMargins left="0.2" right="0.2" top="0.25" bottom="0.25" header="0.3" footer="0.3"/>
  <pageSetup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42"/>
  <sheetViews>
    <sheetView showGridLines="0" zoomScale="55" zoomScaleNormal="55" workbookViewId="0">
      <selection activeCell="S2" sqref="S2"/>
    </sheetView>
  </sheetViews>
  <sheetFormatPr defaultRowHeight="12.75"/>
  <cols>
    <col min="1" max="18" width="11" customWidth="1"/>
  </cols>
  <sheetData>
    <row r="1" spans="1:26" ht="17.45" customHeight="1">
      <c r="A1" s="104"/>
      <c r="B1" s="105"/>
      <c r="C1" s="99" t="s">
        <v>68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6" t="s">
        <v>69</v>
      </c>
      <c r="P1" s="97"/>
      <c r="Q1" s="97"/>
      <c r="R1" s="97"/>
      <c r="S1" s="98"/>
      <c r="T1" s="35"/>
      <c r="U1" s="35"/>
      <c r="V1" s="35"/>
      <c r="W1" s="35"/>
      <c r="X1" s="35"/>
      <c r="Y1" s="35"/>
      <c r="Z1" s="35"/>
    </row>
    <row r="2" spans="1:26">
      <c r="A2" s="32"/>
      <c r="B2" s="2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64"/>
      <c r="P2" s="59"/>
      <c r="Q2" s="59"/>
      <c r="R2" s="63" t="s">
        <v>64</v>
      </c>
      <c r="S2" s="31">
        <v>42836</v>
      </c>
      <c r="T2" s="35"/>
      <c r="U2" s="35"/>
      <c r="V2" s="35"/>
      <c r="W2" s="35"/>
      <c r="X2" s="35"/>
      <c r="Y2" s="35"/>
      <c r="Z2" s="35"/>
    </row>
    <row r="3" spans="1:26">
      <c r="A3" s="30"/>
      <c r="B3" s="2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64"/>
      <c r="P3" s="59"/>
      <c r="Q3" s="59"/>
      <c r="R3" s="63" t="s">
        <v>63</v>
      </c>
      <c r="S3" s="27">
        <v>3</v>
      </c>
      <c r="T3" s="35"/>
      <c r="U3" s="35"/>
      <c r="V3" s="35"/>
      <c r="W3" s="35"/>
      <c r="X3" s="35"/>
      <c r="Y3" s="35"/>
      <c r="Z3" s="35"/>
    </row>
    <row r="4" spans="1:26">
      <c r="A4" s="88"/>
      <c r="B4" s="8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65"/>
      <c r="P4" s="66"/>
      <c r="Q4" s="66"/>
      <c r="R4" s="67" t="s">
        <v>155</v>
      </c>
      <c r="S4" s="68" t="s">
        <v>162</v>
      </c>
      <c r="T4" s="35"/>
      <c r="U4" s="35"/>
      <c r="V4" s="35"/>
      <c r="W4" s="35"/>
      <c r="X4" s="35"/>
      <c r="Y4" s="35"/>
      <c r="Z4" s="35"/>
    </row>
    <row r="10" spans="1:26" ht="20.25" customHeight="1"/>
    <row r="11" spans="1:26" ht="20.25" customHeight="1"/>
    <row r="12" spans="1:26" ht="20.25" customHeight="1"/>
    <row r="13" spans="1:26" ht="20.25" customHeight="1"/>
    <row r="14" spans="1:26" ht="20.25" customHeight="1"/>
    <row r="15" spans="1:26" ht="20.25" customHeight="1"/>
    <row r="16" spans="1:26" ht="5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</sheetData>
  <mergeCells count="3">
    <mergeCell ref="A1:B1"/>
    <mergeCell ref="C1:N4"/>
    <mergeCell ref="O1:S1"/>
  </mergeCells>
  <printOptions horizontalCentered="1" verticalCentered="1"/>
  <pageMargins left="0.2" right="0.2" top="0.25" bottom="0.25" header="0.3" footer="0.3"/>
  <pageSetup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23"/>
  <sheetViews>
    <sheetView workbookViewId="0">
      <selection activeCell="F5" sqref="F5"/>
    </sheetView>
  </sheetViews>
  <sheetFormatPr defaultRowHeight="12.75"/>
  <cols>
    <col min="1" max="1" width="19" customWidth="1"/>
    <col min="2" max="2" width="56.140625" bestFit="1" customWidth="1"/>
    <col min="4" max="4" width="8.85546875" customWidth="1"/>
  </cols>
  <sheetData>
    <row r="1" spans="1:9" ht="33.75" customHeight="1">
      <c r="A1" s="152"/>
      <c r="B1" s="139" t="s">
        <v>68</v>
      </c>
      <c r="C1" s="140"/>
      <c r="D1" s="141"/>
      <c r="E1" s="96" t="s">
        <v>69</v>
      </c>
      <c r="F1" s="98"/>
      <c r="G1" s="61"/>
      <c r="H1" s="36"/>
      <c r="I1" s="36"/>
    </row>
    <row r="2" spans="1:9" ht="12.75" customHeight="1">
      <c r="A2" s="153"/>
      <c r="B2" s="142"/>
      <c r="C2" s="143"/>
      <c r="D2" s="144"/>
      <c r="E2" s="28" t="s">
        <v>64</v>
      </c>
      <c r="F2" s="31">
        <v>42836</v>
      </c>
      <c r="G2" s="61"/>
      <c r="H2" s="36"/>
      <c r="I2" s="36"/>
    </row>
    <row r="3" spans="1:9" ht="13.5" customHeight="1">
      <c r="A3" s="153"/>
      <c r="B3" s="142"/>
      <c r="C3" s="143"/>
      <c r="D3" s="144"/>
      <c r="E3" s="28" t="s">
        <v>63</v>
      </c>
      <c r="F3" s="27">
        <v>3</v>
      </c>
      <c r="G3" s="61"/>
      <c r="H3" s="36"/>
      <c r="I3" s="36"/>
    </row>
    <row r="4" spans="1:9" ht="13.9" customHeight="1">
      <c r="A4" s="154"/>
      <c r="B4" s="145"/>
      <c r="C4" s="146"/>
      <c r="D4" s="147"/>
      <c r="E4" s="74" t="s">
        <v>155</v>
      </c>
      <c r="F4" s="68" t="s">
        <v>165</v>
      </c>
      <c r="G4" s="61"/>
      <c r="H4" s="36"/>
      <c r="I4" s="36"/>
    </row>
    <row r="5" spans="1:9">
      <c r="A5" s="90"/>
      <c r="B5" s="91"/>
      <c r="C5" s="91"/>
      <c r="D5" s="91"/>
      <c r="E5" s="91"/>
      <c r="F5" s="91"/>
    </row>
    <row r="6" spans="1:9">
      <c r="A6" s="91"/>
      <c r="B6" s="92" t="s">
        <v>151</v>
      </c>
      <c r="C6" s="91"/>
      <c r="D6" s="91"/>
      <c r="E6" s="91"/>
      <c r="F6" s="91"/>
    </row>
    <row r="7" spans="1:9">
      <c r="A7" s="91"/>
      <c r="B7" s="90" t="s">
        <v>150</v>
      </c>
      <c r="C7" s="91"/>
      <c r="D7" s="91"/>
      <c r="E7" s="91"/>
      <c r="F7" s="91"/>
    </row>
    <row r="8" spans="1:9" ht="51">
      <c r="A8" s="91"/>
      <c r="B8" s="93" t="s">
        <v>149</v>
      </c>
      <c r="C8" s="91"/>
      <c r="D8" s="91"/>
      <c r="E8" s="91"/>
      <c r="F8" s="91"/>
    </row>
    <row r="9" spans="1:9" ht="25.5">
      <c r="A9" s="91"/>
      <c r="B9" s="93" t="s">
        <v>148</v>
      </c>
      <c r="C9" s="91"/>
      <c r="D9" s="91"/>
      <c r="E9" s="91"/>
      <c r="F9" s="91"/>
    </row>
    <row r="10" spans="1:9">
      <c r="A10" s="90"/>
      <c r="B10" s="91"/>
      <c r="C10" s="91"/>
      <c r="D10" s="91"/>
      <c r="E10" s="91"/>
      <c r="F10" s="91"/>
    </row>
    <row r="11" spans="1:9">
      <c r="A11" s="90"/>
      <c r="B11" s="91"/>
      <c r="C11" s="91"/>
      <c r="D11" s="91"/>
      <c r="E11" s="91"/>
      <c r="F11" s="91"/>
    </row>
    <row r="12" spans="1:9">
      <c r="A12" s="90"/>
      <c r="B12" s="91"/>
      <c r="C12" s="91"/>
      <c r="D12" s="91"/>
      <c r="E12" s="91"/>
      <c r="F12" s="91"/>
    </row>
    <row r="13" spans="1:9">
      <c r="A13" s="90"/>
      <c r="B13" s="91"/>
      <c r="C13" s="91"/>
      <c r="D13" s="91"/>
      <c r="E13" s="91"/>
      <c r="F13" s="91"/>
    </row>
    <row r="14" spans="1:9">
      <c r="A14" s="91"/>
      <c r="B14" s="92" t="s">
        <v>152</v>
      </c>
      <c r="C14" s="91"/>
      <c r="D14" s="91"/>
      <c r="E14" s="91"/>
      <c r="F14" s="91"/>
    </row>
    <row r="15" spans="1:9">
      <c r="A15" s="91"/>
      <c r="B15" s="90" t="s">
        <v>150</v>
      </c>
      <c r="C15" s="91"/>
      <c r="D15" s="91"/>
      <c r="E15" s="91"/>
      <c r="F15" s="91"/>
    </row>
    <row r="16" spans="1:9" ht="38.25">
      <c r="A16" s="91"/>
      <c r="B16" s="93" t="s">
        <v>153</v>
      </c>
      <c r="C16" s="91"/>
      <c r="D16" s="91"/>
      <c r="E16" s="91"/>
      <c r="F16" s="91"/>
    </row>
    <row r="17" spans="1:6" ht="25.5">
      <c r="A17" s="91"/>
      <c r="B17" s="93" t="s">
        <v>148</v>
      </c>
      <c r="C17" s="91"/>
      <c r="D17" s="91"/>
      <c r="E17" s="91"/>
      <c r="F17" s="91"/>
    </row>
    <row r="18" spans="1:6">
      <c r="A18" s="90"/>
      <c r="B18" s="91"/>
      <c r="C18" s="91"/>
      <c r="D18" s="91"/>
      <c r="E18" s="91"/>
      <c r="F18" s="91"/>
    </row>
    <row r="19" spans="1:6">
      <c r="A19" s="90"/>
      <c r="B19" s="91"/>
      <c r="C19" s="91"/>
      <c r="D19" s="91"/>
      <c r="E19" s="91"/>
      <c r="F19" s="91"/>
    </row>
    <row r="20" spans="1:6">
      <c r="A20" s="90"/>
      <c r="B20" s="91"/>
      <c r="C20" s="91"/>
      <c r="D20" s="91"/>
      <c r="E20" s="91"/>
      <c r="F20" s="91"/>
    </row>
    <row r="21" spans="1:6">
      <c r="A21" s="90"/>
      <c r="B21" s="91"/>
      <c r="C21" s="91"/>
      <c r="D21" s="91"/>
      <c r="E21" s="91"/>
      <c r="F21" s="91"/>
    </row>
    <row r="22" spans="1:6">
      <c r="A22" s="90"/>
      <c r="B22" s="91"/>
      <c r="C22" s="91"/>
      <c r="D22" s="91"/>
      <c r="E22" s="91"/>
      <c r="F22" s="91"/>
    </row>
    <row r="23" spans="1:6">
      <c r="A23" s="90"/>
      <c r="B23" s="91"/>
      <c r="C23" s="91"/>
      <c r="D23" s="91"/>
      <c r="E23" s="91"/>
      <c r="F23" s="91"/>
    </row>
  </sheetData>
  <mergeCells count="3">
    <mergeCell ref="A1:A4"/>
    <mergeCell ref="B1:D4"/>
    <mergeCell ref="E1:F1"/>
  </mergeCells>
  <pageMargins left="0.7" right="0.7" top="0.75" bottom="0.75" header="0.3" footer="0.3"/>
  <pageSetup scale="8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36"/>
  <sheetViews>
    <sheetView workbookViewId="0">
      <selection activeCell="C17" sqref="C17"/>
    </sheetView>
  </sheetViews>
  <sheetFormatPr defaultColWidth="9.140625" defaultRowHeight="12.75"/>
  <cols>
    <col min="1" max="1" width="9.140625" style="19"/>
    <col min="2" max="2" width="10.140625" style="19" customWidth="1"/>
    <col min="3" max="3" width="17.85546875" style="19" bestFit="1" customWidth="1"/>
    <col min="4" max="4" width="9.140625" style="19"/>
    <col min="5" max="5" width="16.140625" style="19" customWidth="1"/>
    <col min="6" max="6" width="3.85546875" style="19" customWidth="1"/>
    <col min="7" max="7" width="6" style="19" customWidth="1"/>
    <col min="8" max="8" width="16" style="19" customWidth="1"/>
    <col min="9" max="9" width="9" style="19" bestFit="1" customWidth="1"/>
    <col min="10" max="16384" width="9.140625" style="19"/>
  </cols>
  <sheetData>
    <row r="1" spans="1:9" ht="13.5" customHeight="1">
      <c r="A1" s="104"/>
      <c r="B1" s="105"/>
      <c r="C1" s="139" t="s">
        <v>68</v>
      </c>
      <c r="D1" s="140"/>
      <c r="E1" s="140"/>
      <c r="F1" s="140"/>
      <c r="G1" s="141"/>
      <c r="H1" s="96"/>
      <c r="I1" s="98"/>
    </row>
    <row r="2" spans="1:9" ht="14.25" customHeight="1">
      <c r="A2" s="157"/>
      <c r="B2" s="158"/>
      <c r="C2" s="142"/>
      <c r="D2" s="143"/>
      <c r="E2" s="143"/>
      <c r="F2" s="143"/>
      <c r="G2" s="144"/>
      <c r="H2" s="126" t="s">
        <v>69</v>
      </c>
      <c r="I2" s="127"/>
    </row>
    <row r="3" spans="1:9" ht="12.75" customHeight="1">
      <c r="A3" s="32"/>
      <c r="B3" s="29"/>
      <c r="C3" s="142"/>
      <c r="D3" s="143"/>
      <c r="E3" s="143"/>
      <c r="F3" s="143"/>
      <c r="G3" s="144"/>
      <c r="H3" s="28" t="s">
        <v>64</v>
      </c>
      <c r="I3" s="31">
        <v>42836</v>
      </c>
    </row>
    <row r="4" spans="1:9" ht="12.75" customHeight="1">
      <c r="A4" s="30"/>
      <c r="B4" s="29"/>
      <c r="C4" s="142"/>
      <c r="D4" s="143"/>
      <c r="E4" s="143"/>
      <c r="F4" s="143"/>
      <c r="G4" s="144"/>
      <c r="H4" s="28" t="s">
        <v>63</v>
      </c>
      <c r="I4" s="27">
        <v>3</v>
      </c>
    </row>
    <row r="5" spans="1:9" ht="12.75" customHeight="1">
      <c r="A5" s="88"/>
      <c r="B5" s="89"/>
      <c r="C5" s="145"/>
      <c r="D5" s="146"/>
      <c r="E5" s="146"/>
      <c r="F5" s="146"/>
      <c r="G5" s="147"/>
      <c r="H5" s="74" t="s">
        <v>155</v>
      </c>
      <c r="I5" s="68" t="s">
        <v>154</v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 ht="28.5" customHeight="1">
      <c r="A7" s="24" t="s">
        <v>62</v>
      </c>
      <c r="B7" s="20"/>
      <c r="C7" s="20"/>
      <c r="D7" s="20"/>
      <c r="E7" s="20"/>
      <c r="F7" s="20"/>
      <c r="G7" s="20"/>
      <c r="H7" s="20"/>
      <c r="I7" s="20"/>
    </row>
    <row r="8" spans="1:9" ht="35.25" customHeight="1">
      <c r="A8" s="168" t="s">
        <v>61</v>
      </c>
      <c r="B8" s="168"/>
      <c r="C8" s="168"/>
      <c r="D8" s="168"/>
      <c r="E8" s="168"/>
      <c r="F8" s="168"/>
      <c r="G8" s="168"/>
      <c r="H8" s="168"/>
      <c r="I8" s="168"/>
    </row>
    <row r="9" spans="1:9">
      <c r="A9" s="168"/>
      <c r="B9" s="168"/>
      <c r="C9" s="168"/>
      <c r="D9" s="168"/>
      <c r="E9" s="168"/>
      <c r="F9" s="168"/>
      <c r="G9" s="168"/>
      <c r="H9" s="168"/>
      <c r="I9" s="168"/>
    </row>
    <row r="10" spans="1:9">
      <c r="A10" s="168"/>
      <c r="B10" s="168"/>
      <c r="C10" s="168"/>
      <c r="D10" s="168"/>
      <c r="E10" s="168"/>
      <c r="F10" s="168"/>
      <c r="G10" s="168"/>
      <c r="H10" s="168"/>
      <c r="I10" s="168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169" t="s">
        <v>60</v>
      </c>
      <c r="B12" s="163" t="s">
        <v>59</v>
      </c>
      <c r="C12" s="163" t="s">
        <v>58</v>
      </c>
      <c r="D12" s="164" t="s">
        <v>57</v>
      </c>
      <c r="E12" s="164"/>
      <c r="F12" s="164"/>
      <c r="G12" s="164"/>
      <c r="H12" s="164"/>
      <c r="I12" s="20"/>
    </row>
    <row r="13" spans="1:9">
      <c r="A13" s="169"/>
      <c r="B13" s="163"/>
      <c r="C13" s="163"/>
      <c r="D13" s="164"/>
      <c r="E13" s="164"/>
      <c r="F13" s="164"/>
      <c r="G13" s="164"/>
      <c r="H13" s="164"/>
      <c r="I13" s="20"/>
    </row>
    <row r="14" spans="1:9">
      <c r="A14" s="49">
        <v>0</v>
      </c>
      <c r="B14" s="50">
        <v>41752</v>
      </c>
      <c r="C14" s="55" t="s">
        <v>65</v>
      </c>
      <c r="D14" s="165" t="s">
        <v>56</v>
      </c>
      <c r="E14" s="166"/>
      <c r="F14" s="166"/>
      <c r="G14" s="166"/>
      <c r="H14" s="167"/>
      <c r="I14" s="20"/>
    </row>
    <row r="15" spans="1:9">
      <c r="A15" s="40">
        <v>1</v>
      </c>
      <c r="B15" s="41">
        <v>41773</v>
      </c>
      <c r="C15" s="53" t="s">
        <v>65</v>
      </c>
      <c r="D15" s="170" t="s">
        <v>136</v>
      </c>
      <c r="E15" s="171"/>
      <c r="F15" s="171"/>
      <c r="G15" s="171"/>
      <c r="H15" s="172"/>
      <c r="I15" s="20"/>
    </row>
    <row r="16" spans="1:9">
      <c r="A16" s="40">
        <v>2</v>
      </c>
      <c r="B16" s="41">
        <v>42752</v>
      </c>
      <c r="C16" s="54" t="s">
        <v>146</v>
      </c>
      <c r="D16" s="159" t="s">
        <v>147</v>
      </c>
      <c r="E16" s="160"/>
      <c r="F16" s="160"/>
      <c r="G16" s="160"/>
      <c r="H16" s="161"/>
      <c r="I16" s="20"/>
    </row>
    <row r="17" spans="1:9">
      <c r="A17" s="40">
        <v>3</v>
      </c>
      <c r="B17" s="41">
        <v>42836</v>
      </c>
      <c r="C17" s="53" t="s">
        <v>146</v>
      </c>
      <c r="D17" s="159" t="s">
        <v>156</v>
      </c>
      <c r="E17" s="160"/>
      <c r="F17" s="160"/>
      <c r="G17" s="160"/>
      <c r="H17" s="161"/>
      <c r="I17" s="20"/>
    </row>
    <row r="18" spans="1: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28.5" customHeight="1">
      <c r="A19" s="22" t="s">
        <v>55</v>
      </c>
      <c r="B19" s="23"/>
      <c r="C19" s="23"/>
      <c r="D19" s="23"/>
      <c r="E19" s="23"/>
      <c r="F19" s="23"/>
      <c r="G19" s="23"/>
      <c r="H19" s="23"/>
      <c r="I19" s="23"/>
    </row>
    <row r="20" spans="1:9" ht="14.25">
      <c r="A20" s="22"/>
      <c r="B20" s="20"/>
      <c r="C20" s="20"/>
      <c r="D20" s="20"/>
      <c r="E20" s="20"/>
      <c r="F20" s="20"/>
      <c r="G20" s="20"/>
      <c r="H20" s="20"/>
      <c r="I20" s="20"/>
    </row>
    <row r="21" spans="1:9" ht="15">
      <c r="A21" s="162" t="s">
        <v>54</v>
      </c>
      <c r="B21" s="162"/>
      <c r="C21" s="162"/>
      <c r="D21" s="162" t="s">
        <v>53</v>
      </c>
      <c r="E21" s="162"/>
      <c r="F21" s="162" t="s">
        <v>50</v>
      </c>
      <c r="G21" s="162"/>
      <c r="H21" s="162"/>
      <c r="I21" s="20"/>
    </row>
    <row r="22" spans="1:9">
      <c r="A22" s="176" t="s">
        <v>65</v>
      </c>
      <c r="B22" s="176"/>
      <c r="C22" s="176"/>
      <c r="D22" s="176" t="s">
        <v>66</v>
      </c>
      <c r="E22" s="176"/>
      <c r="F22" s="178">
        <v>41752</v>
      </c>
      <c r="G22" s="178"/>
      <c r="H22" s="176"/>
      <c r="I22" s="20"/>
    </row>
    <row r="23" spans="1:9">
      <c r="A23" s="20"/>
      <c r="B23" s="20"/>
      <c r="C23" s="20"/>
      <c r="D23" s="20"/>
      <c r="E23" s="20"/>
      <c r="F23" s="20"/>
      <c r="G23" s="20"/>
      <c r="H23" s="20"/>
      <c r="I23" s="20"/>
    </row>
    <row r="24" spans="1:9" ht="14.25">
      <c r="A24" s="22" t="s">
        <v>52</v>
      </c>
      <c r="B24" s="20"/>
      <c r="C24" s="20"/>
      <c r="D24" s="20"/>
      <c r="E24" s="20"/>
      <c r="F24" s="20"/>
      <c r="G24" s="20"/>
      <c r="H24" s="20"/>
      <c r="I24" s="20"/>
    </row>
    <row r="25" spans="1:9">
      <c r="A25" s="20"/>
      <c r="B25" s="20"/>
      <c r="C25" s="20"/>
      <c r="D25" s="20"/>
      <c r="E25" s="20"/>
      <c r="F25" s="20"/>
      <c r="G25" s="20"/>
      <c r="H25" s="20"/>
      <c r="I25" s="20"/>
    </row>
    <row r="26" spans="1:9" ht="15">
      <c r="A26" s="162" t="s">
        <v>51</v>
      </c>
      <c r="B26" s="162"/>
      <c r="C26" s="162"/>
      <c r="D26" s="179" t="s">
        <v>50</v>
      </c>
      <c r="E26" s="180"/>
      <c r="F26" s="20"/>
      <c r="G26" s="20"/>
      <c r="H26" s="20"/>
      <c r="I26" s="20"/>
    </row>
    <row r="27" spans="1:9">
      <c r="A27" s="177" t="s">
        <v>49</v>
      </c>
      <c r="B27" s="177"/>
      <c r="C27" s="177"/>
      <c r="D27" s="174" t="s">
        <v>48</v>
      </c>
      <c r="E27" s="175"/>
      <c r="F27" s="20"/>
      <c r="G27" s="20"/>
      <c r="H27" s="20"/>
      <c r="I27" s="20"/>
    </row>
    <row r="28" spans="1:9">
      <c r="A28" s="177"/>
      <c r="B28" s="177"/>
      <c r="C28" s="177"/>
      <c r="D28" s="174"/>
      <c r="E28" s="175"/>
      <c r="F28" s="20"/>
      <c r="G28" s="20"/>
      <c r="H28" s="20"/>
      <c r="I28" s="20"/>
    </row>
    <row r="29" spans="1:9">
      <c r="A29" s="176"/>
      <c r="B29" s="176"/>
      <c r="C29" s="176"/>
      <c r="D29" s="174"/>
      <c r="E29" s="175"/>
      <c r="F29" s="20"/>
      <c r="G29" s="20"/>
      <c r="H29" s="20"/>
      <c r="I29" s="20"/>
    </row>
    <row r="30" spans="1:9">
      <c r="A30" s="176"/>
      <c r="B30" s="176"/>
      <c r="C30" s="176"/>
      <c r="D30" s="174"/>
      <c r="E30" s="175"/>
      <c r="F30" s="20"/>
      <c r="G30" s="20"/>
      <c r="H30" s="20"/>
      <c r="I30" s="20"/>
    </row>
    <row r="31" spans="1:9">
      <c r="A31" s="176"/>
      <c r="B31" s="176"/>
      <c r="C31" s="176"/>
      <c r="D31" s="174"/>
      <c r="E31" s="175"/>
      <c r="F31" s="20"/>
      <c r="G31" s="20"/>
      <c r="H31" s="20"/>
      <c r="I31" s="20"/>
    </row>
    <row r="32" spans="1:9">
      <c r="A32" s="21" t="s">
        <v>47</v>
      </c>
      <c r="B32" s="20"/>
      <c r="C32" s="20"/>
      <c r="D32" s="20"/>
      <c r="E32" s="20"/>
      <c r="F32" s="20"/>
      <c r="G32" s="20"/>
      <c r="H32" s="20"/>
      <c r="I32" s="20"/>
    </row>
    <row r="33" spans="1:9">
      <c r="A33" s="20"/>
      <c r="B33" s="20"/>
      <c r="C33" s="20"/>
      <c r="D33" s="20"/>
      <c r="E33" s="20"/>
      <c r="F33" s="20"/>
      <c r="G33" s="20"/>
      <c r="H33" s="20"/>
      <c r="I33" s="20"/>
    </row>
    <row r="34" spans="1:9">
      <c r="A34" s="20"/>
      <c r="B34" s="20"/>
      <c r="C34" s="20"/>
      <c r="D34" s="20"/>
      <c r="E34" s="20"/>
      <c r="F34" s="20"/>
      <c r="G34" s="20"/>
      <c r="H34" s="20"/>
      <c r="I34" s="20"/>
    </row>
    <row r="35" spans="1:9">
      <c r="A35" s="20"/>
      <c r="B35" s="20"/>
      <c r="C35" s="20"/>
      <c r="D35" s="20"/>
      <c r="E35" s="20"/>
      <c r="F35" s="20"/>
      <c r="G35" s="20"/>
      <c r="H35" s="20"/>
      <c r="I35" s="20"/>
    </row>
    <row r="36" spans="1:9" ht="12.75" customHeight="1">
      <c r="A36" s="173" t="s">
        <v>46</v>
      </c>
      <c r="B36" s="173"/>
      <c r="C36" s="173"/>
      <c r="D36" s="173"/>
      <c r="E36" s="173"/>
      <c r="F36" s="173"/>
      <c r="G36" s="173"/>
      <c r="H36" s="173"/>
      <c r="I36" s="173"/>
    </row>
  </sheetData>
  <mergeCells count="32">
    <mergeCell ref="A22:C22"/>
    <mergeCell ref="D22:E22"/>
    <mergeCell ref="F22:H22"/>
    <mergeCell ref="A26:C26"/>
    <mergeCell ref="D26:E26"/>
    <mergeCell ref="A36:I36"/>
    <mergeCell ref="D27:E27"/>
    <mergeCell ref="D28:E28"/>
    <mergeCell ref="D29:E29"/>
    <mergeCell ref="D30:E30"/>
    <mergeCell ref="A30:C30"/>
    <mergeCell ref="D31:E31"/>
    <mergeCell ref="A31:C31"/>
    <mergeCell ref="A27:C27"/>
    <mergeCell ref="A28:C28"/>
    <mergeCell ref="A29:C29"/>
    <mergeCell ref="H1:I1"/>
    <mergeCell ref="A1:B2"/>
    <mergeCell ref="C1:G5"/>
    <mergeCell ref="D17:H17"/>
    <mergeCell ref="A21:C21"/>
    <mergeCell ref="D21:E21"/>
    <mergeCell ref="F21:H21"/>
    <mergeCell ref="B12:B13"/>
    <mergeCell ref="D12:H13"/>
    <mergeCell ref="D14:H14"/>
    <mergeCell ref="D16:H16"/>
    <mergeCell ref="H2:I2"/>
    <mergeCell ref="C12:C13"/>
    <mergeCell ref="A8:I10"/>
    <mergeCell ref="A12:A13"/>
    <mergeCell ref="D15:H15"/>
  </mergeCells>
  <pageMargins left="0.7" right="0.7" top="0.75" bottom="0.75" header="0.3" footer="0.3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PFMEACHECK</vt:lpstr>
      <vt:lpstr>PFMEA-A</vt:lpstr>
      <vt:lpstr>Severity</vt:lpstr>
      <vt:lpstr>Occurrence</vt:lpstr>
      <vt:lpstr>Detection</vt:lpstr>
      <vt:lpstr>Fishbone 1</vt:lpstr>
      <vt:lpstr>Fishbone 2</vt:lpstr>
      <vt:lpstr>Fishbone 3</vt:lpstr>
      <vt:lpstr>Instructions</vt:lpstr>
      <vt:lpstr>Sign-off</vt:lpstr>
      <vt:lpstr>Detection!Print_Area</vt:lpstr>
      <vt:lpstr>'Fishbone 1'!Print_Area</vt:lpstr>
      <vt:lpstr>'Fishbone 2'!Print_Area</vt:lpstr>
      <vt:lpstr>'Fishbone 3'!Print_Area</vt:lpstr>
      <vt:lpstr>Instructions!Print_Area</vt:lpstr>
      <vt:lpstr>Occurrence!Print_Area</vt:lpstr>
      <vt:lpstr>'PFMEA-A'!Print_Area</vt:lpstr>
      <vt:lpstr>PFMEACHECK!Print_Area</vt:lpstr>
      <vt:lpstr>Severity!Print_Area</vt:lpstr>
      <vt:lpstr>'Sign-off'!Print_Area</vt:lpstr>
      <vt:lpstr>'PFMEA-A'!Print_Titles</vt:lpstr>
      <vt:lpstr>PFMEACHECK!Print_Titles</vt:lpstr>
    </vt:vector>
  </TitlesOfParts>
  <Company>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Skidmore, Lisa (GE, Appl &amp; Light)</dc:creator>
  <cp:lastModifiedBy>Lyvers, Chris  (GE Appliances, Haier)</cp:lastModifiedBy>
  <cp:lastPrinted>2017-04-11T19:18:45Z</cp:lastPrinted>
  <dcterms:created xsi:type="dcterms:W3CDTF">2014-04-23T20:24:32Z</dcterms:created>
  <dcterms:modified xsi:type="dcterms:W3CDTF">2026-03-23T17:02:30Z</dcterms:modified>
</cp:coreProperties>
</file>